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loreal-my.sharepoint.com/personal/alekhya_nandina_loreal_com/Documents/Desktop/"/>
    </mc:Choice>
  </mc:AlternateContent>
  <xr:revisionPtr revIDLastSave="0" documentId="8_{BCFA4FAB-58A4-4CAA-9F87-2BC916FADCED}" xr6:coauthVersionLast="47" xr6:coauthVersionMax="47" xr10:uidLastSave="{00000000-0000-0000-0000-000000000000}"/>
  <bookViews>
    <workbookView xWindow="-80" yWindow="-80" windowWidth="19360" windowHeight="11440" xr2:uid="{2D0C04F8-48F2-4C4E-A0E2-FB58CFE8EE09}"/>
  </bookViews>
  <sheets>
    <sheet name="29Jul2025" sheetId="3" r:id="rId1"/>
    <sheet name="Sheet1" sheetId="1" r:id="rId2"/>
    <sheet name="Sheet2" sheetId="2" r:id="rId3"/>
  </sheets>
  <definedNames>
    <definedName name="_xlnm._FilterDatabase" localSheetId="0" hidden="1">'29Jul2025'!$H$1:$J$145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9" i="3" l="1"/>
  <c r="G148" i="3"/>
  <c r="G147" i="3"/>
  <c r="G145" i="3"/>
  <c r="G146" i="3"/>
  <c r="G144" i="3"/>
  <c r="B265" i="3"/>
  <c r="B264" i="3"/>
  <c r="B260" i="3"/>
  <c r="B263" i="3"/>
  <c r="B261" i="3"/>
  <c r="B259" i="3"/>
  <c r="G142" i="3"/>
  <c r="G143" i="3"/>
  <c r="G137" i="3"/>
  <c r="G141" i="3"/>
  <c r="G139" i="3"/>
  <c r="G140" i="3"/>
  <c r="G136" i="3"/>
  <c r="G138" i="3"/>
  <c r="G135" i="3"/>
  <c r="G134" i="3"/>
  <c r="G133" i="3"/>
  <c r="G132" i="3"/>
  <c r="G126" i="3"/>
  <c r="G130" i="3"/>
  <c r="G131" i="3"/>
  <c r="G128" i="3"/>
  <c r="G129" i="3"/>
  <c r="G125" i="3"/>
  <c r="G127" i="3"/>
  <c r="G124" i="3"/>
  <c r="G122" i="3"/>
  <c r="G117" i="3"/>
  <c r="G123" i="3"/>
  <c r="G118" i="3"/>
  <c r="G116" i="3"/>
  <c r="G121" i="3"/>
  <c r="G120" i="3"/>
  <c r="G119" i="3"/>
  <c r="G9" i="3"/>
  <c r="G3" i="3"/>
  <c r="G11" i="3"/>
  <c r="G8" i="3"/>
  <c r="G12" i="3"/>
  <c r="G6" i="3"/>
  <c r="G10" i="3"/>
  <c r="G7" i="3"/>
  <c r="G16" i="3"/>
  <c r="G18" i="3"/>
  <c r="G14" i="3"/>
  <c r="G21" i="3"/>
  <c r="G20" i="3"/>
  <c r="G13" i="3"/>
  <c r="G22" i="3"/>
  <c r="G23" i="3"/>
  <c r="G17" i="3"/>
  <c r="G15" i="3"/>
  <c r="G19" i="3"/>
  <c r="G28" i="3"/>
  <c r="G31" i="3"/>
  <c r="G25" i="3"/>
  <c r="G27" i="3"/>
  <c r="G24" i="3"/>
  <c r="G29" i="3"/>
  <c r="G30" i="3"/>
  <c r="G26" i="3"/>
  <c r="G32" i="3"/>
  <c r="G33" i="3"/>
  <c r="G35" i="3"/>
  <c r="G34" i="3"/>
  <c r="G36" i="3"/>
  <c r="G38" i="3"/>
  <c r="G39" i="3"/>
  <c r="G42" i="3"/>
  <c r="G41" i="3"/>
  <c r="G44" i="3"/>
  <c r="G43" i="3"/>
  <c r="G37" i="3"/>
  <c r="G45" i="3"/>
  <c r="G40" i="3"/>
  <c r="G46" i="3"/>
  <c r="G47" i="3"/>
  <c r="G48" i="3"/>
  <c r="G53" i="3"/>
  <c r="G52" i="3"/>
  <c r="G55" i="3"/>
  <c r="G56" i="3"/>
  <c r="G54" i="3"/>
  <c r="G57" i="3"/>
  <c r="G51" i="3"/>
  <c r="G49" i="3"/>
  <c r="G50" i="3"/>
  <c r="G61" i="3"/>
  <c r="G60" i="3"/>
  <c r="G62" i="3"/>
  <c r="G63" i="3"/>
  <c r="G64" i="3"/>
  <c r="G59" i="3"/>
  <c r="G58" i="3"/>
  <c r="G66" i="3"/>
  <c r="G67" i="3"/>
  <c r="G65" i="3"/>
  <c r="G68" i="3"/>
  <c r="G70" i="3"/>
  <c r="G71" i="3"/>
  <c r="G69" i="3"/>
  <c r="G72" i="3"/>
  <c r="G75" i="3"/>
  <c r="G73" i="3"/>
  <c r="G82" i="3"/>
  <c r="G81" i="3"/>
  <c r="G78" i="3"/>
  <c r="G84" i="3"/>
  <c r="G86" i="3"/>
  <c r="G85" i="3"/>
  <c r="G87" i="3"/>
  <c r="G80" i="3"/>
  <c r="G77" i="3"/>
  <c r="G74" i="3"/>
  <c r="G83" i="3"/>
  <c r="G76" i="3"/>
  <c r="G79" i="3"/>
  <c r="G90" i="3"/>
  <c r="G88" i="3"/>
  <c r="G92" i="3"/>
  <c r="G91" i="3"/>
  <c r="G89" i="3"/>
  <c r="G93" i="3"/>
  <c r="G97" i="3"/>
  <c r="G98" i="3"/>
  <c r="G95" i="3"/>
  <c r="G96" i="3"/>
  <c r="G94" i="3"/>
  <c r="G99" i="3"/>
  <c r="G100" i="3"/>
  <c r="G101" i="3"/>
  <c r="G103" i="3"/>
  <c r="G102" i="3"/>
  <c r="G104" i="3"/>
  <c r="G105" i="3"/>
  <c r="G107" i="3"/>
  <c r="G108" i="3"/>
  <c r="G109" i="3"/>
  <c r="G106" i="3"/>
  <c r="G110" i="3"/>
  <c r="G113" i="3"/>
  <c r="G115" i="3"/>
  <c r="G111" i="3"/>
  <c r="G114" i="3"/>
  <c r="G112" i="3"/>
  <c r="G4" i="3"/>
  <c r="G5" i="3"/>
  <c r="G2" i="3"/>
</calcChain>
</file>

<file path=xl/sharedStrings.xml><?xml version="1.0" encoding="utf-8"?>
<sst xmlns="http://schemas.openxmlformats.org/spreadsheetml/2006/main" count="1292" uniqueCount="582">
  <si>
    <t>Machine Name</t>
  </si>
  <si>
    <t>User</t>
  </si>
  <si>
    <t>Log copied on share?</t>
  </si>
  <si>
    <t>SCCM Status</t>
  </si>
  <si>
    <t>SCCM Code</t>
  </si>
  <si>
    <t>Last Status Message Name</t>
  </si>
  <si>
    <t>Last Status Time</t>
  </si>
  <si>
    <t>USACDHYWKS74B0W</t>
  </si>
  <si>
    <t>naloreal\isabel.sorensen</t>
  </si>
  <si>
    <t>NO</t>
  </si>
  <si>
    <t>Succeeded</t>
  </si>
  <si>
    <t>Program completed with success</t>
  </si>
  <si>
    <t>USCORBHWKS03W2R</t>
  </si>
  <si>
    <t>NALOREAL\Margaret.KORYCKI</t>
  </si>
  <si>
    <t>Failed</t>
  </si>
  <si>
    <t>Program failed</t>
  </si>
  <si>
    <t>USCORHYWKS0518</t>
  </si>
  <si>
    <t>NALOREAL\John.MAZURKIEWICZ</t>
  </si>
  <si>
    <t>Program received - no further status</t>
  </si>
  <si>
    <t>USCORHYWKS0751</t>
  </si>
  <si>
    <t>NALOREAL\candace.brown</t>
  </si>
  <si>
    <t>Running</t>
  </si>
  <si>
    <t>Program started</t>
  </si>
  <si>
    <t>USCORHYWKS0788</t>
  </si>
  <si>
    <t>NALOREAL\nancy.ilaya</t>
  </si>
  <si>
    <t>USCORHYWKSJKIM2</t>
  </si>
  <si>
    <t>NALOREAL\Jane.Lee</t>
  </si>
  <si>
    <t>USLUXHYWKSCARM2</t>
  </si>
  <si>
    <t>NALOREAL\courtney.armstrong</t>
  </si>
  <si>
    <t>USLUXJCWKSKRCO1</t>
  </si>
  <si>
    <t>NALOREAL\kristen.costello</t>
  </si>
  <si>
    <t>USPPDHYWKSMMCC3</t>
  </si>
  <si>
    <t>naloreal\madeline.mcclellan</t>
  </si>
  <si>
    <t>USSCDSPWKSCHIL2</t>
  </si>
  <si>
    <t>NALOREAL\corbin.hill</t>
  </si>
  <si>
    <t>16th June 2025</t>
  </si>
  <si>
    <t>Yes</t>
  </si>
  <si>
    <t>Action performed</t>
  </si>
  <si>
    <t>28.84 GB</t>
  </si>
  <si>
    <t>Initial Free Disk Space</t>
  </si>
  <si>
    <t>Free Disk Space on close</t>
  </si>
  <si>
    <t>17.64 GB</t>
  </si>
  <si>
    <t>Office Files Cache cleared, Downloads 3 files cleared, One Drive 0 files processed.</t>
  </si>
  <si>
    <t>User closed the application</t>
  </si>
  <si>
    <t>17th June 2025</t>
  </si>
  <si>
    <t>madeline.mcclellan</t>
  </si>
  <si>
    <t>Microphone in use</t>
  </si>
  <si>
    <t>kristen.costello</t>
  </si>
  <si>
    <t>Not enough space in cache</t>
  </si>
  <si>
    <t>Program failed (retrying)</t>
  </si>
  <si>
    <t>Space greater than 15GB, But got deferrals. Did not run on 17th after exit 0 inclusion in script</t>
  </si>
  <si>
    <t>User deferred</t>
  </si>
  <si>
    <t>Free disk space 48939 is larger than 15GB. No action needed.</t>
  </si>
  <si>
    <t>System offline</t>
  </si>
  <si>
    <t>Couldn't direct connect</t>
  </si>
  <si>
    <t>Awaiting response</t>
  </si>
  <si>
    <t>24 GB</t>
  </si>
  <si>
    <t>10 GB</t>
  </si>
  <si>
    <t>Couldn't connect through Tanium</t>
  </si>
  <si>
    <t>18th June 2025</t>
  </si>
  <si>
    <t>USCORHYWKS42RZV</t>
  </si>
  <si>
    <t>NALOREAL\sarah.kopp</t>
  </si>
  <si>
    <t>6.25 GB</t>
  </si>
  <si>
    <t>41.84 GB</t>
  </si>
  <si>
    <t>Downloads folder and office files cache folder cleaned up</t>
  </si>
  <si>
    <t>NALOREAL\xi.yan</t>
  </si>
  <si>
    <t>USCORWKS0000343</t>
  </si>
  <si>
    <t>Opened and closed application</t>
  </si>
  <si>
    <t>UserDomain</t>
  </si>
  <si>
    <t>MachineName</t>
  </si>
  <si>
    <t>UserName</t>
  </si>
  <si>
    <t>USLUXHYWKSGNR21</t>
  </si>
  <si>
    <t>NALOREAL</t>
  </si>
  <si>
    <t>erika.mulvey</t>
  </si>
  <si>
    <t>Reason for status</t>
  </si>
  <si>
    <t>Michrophone in use</t>
  </si>
  <si>
    <t>USCORHYWKS0753</t>
  </si>
  <si>
    <t>dru.davis</t>
  </si>
  <si>
    <t>Log datetime</t>
  </si>
  <si>
    <t>Tanium Direct connect</t>
  </si>
  <si>
    <t>Y</t>
  </si>
  <si>
    <t>N</t>
  </si>
  <si>
    <t>Free Space on Disk</t>
  </si>
  <si>
    <t>3 GB</t>
  </si>
  <si>
    <t>4 GB</t>
  </si>
  <si>
    <t>USACDHYWKS74BYG</t>
  </si>
  <si>
    <t>lisa.avalos</t>
  </si>
  <si>
    <t>Session date</t>
  </si>
  <si>
    <t>Actions performed</t>
  </si>
  <si>
    <t>Office cache folder size calculated: 0.54
 Downloads folder size calculated: 13.26</t>
  </si>
  <si>
    <t>Downloads and OFC cleared</t>
  </si>
  <si>
    <t>USCORHYWKS0704</t>
  </si>
  <si>
    <t>kristen.mckay</t>
  </si>
  <si>
    <t>Downloads folder size calculated: 3.13
Office cache folder size calculated: 10.26</t>
  </si>
  <si>
    <t>One Drive</t>
  </si>
  <si>
    <t>Untouched</t>
  </si>
  <si>
    <t>USSCDSPWKSCPEER</t>
  </si>
  <si>
    <t>cameron.peerenboom</t>
  </si>
  <si>
    <t>Downloads folder size calculated: 0.00
Office cache folder size calculated: 2.10</t>
  </si>
  <si>
    <t>No action</t>
  </si>
  <si>
    <t>USLUXHYWKS74C2T</t>
  </si>
  <si>
    <t>lauren.berkery</t>
  </si>
  <si>
    <t>OFC Cleared</t>
  </si>
  <si>
    <t>Downloads folder size calculated: 0.55
Office cache folder size calculated: 18.62</t>
  </si>
  <si>
    <t>USMFGNLRWKS1491</t>
  </si>
  <si>
    <t>stacey.greubel</t>
  </si>
  <si>
    <t xml:space="preserve"> Downloads folder size calculated: 0.00
Office cache folder size calculated: 8.64</t>
  </si>
  <si>
    <t>Desktop directory does not exist: C:\Users\stacey.greubel\OneDrive - L'Oréal\Desktop</t>
  </si>
  <si>
    <t>USCPDHYWKSCARO1</t>
  </si>
  <si>
    <t>chanda.arolkar</t>
  </si>
  <si>
    <t>Office cache folder size calculated: 0.12
Downloads folder size calculated: 27.96</t>
  </si>
  <si>
    <t>Moved files from downloads to onedrive</t>
  </si>
  <si>
    <t>USPPDHYWKSKBRE1</t>
  </si>
  <si>
    <t>kristen.brendle</t>
  </si>
  <si>
    <t>Downloads folder size calculated: 0.39
Office cache folder size calculated: 5.48</t>
  </si>
  <si>
    <t>Downloads folder size calculated: 0.52
Office cache folder size calculated: 28.17</t>
  </si>
  <si>
    <t>USCORSBWKS00319</t>
  </si>
  <si>
    <t>stephanie.dicus</t>
  </si>
  <si>
    <t>USCORSBWKS00472</t>
  </si>
  <si>
    <t>amber.cavener</t>
  </si>
  <si>
    <t>Downloads folder size calculated: 0.59
Office cache folder size calculated: 8.55</t>
  </si>
  <si>
    <t>No user action</t>
  </si>
  <si>
    <t>USCORSBWKS00750</t>
  </si>
  <si>
    <t>yubei.wu</t>
  </si>
  <si>
    <t>Downloads folder size calculated: 0.16
Office cache folder size calculated: 2.09</t>
  </si>
  <si>
    <t>Freed all disk space</t>
  </si>
  <si>
    <t>USCORHYWKS0646</t>
  </si>
  <si>
    <t>brenna.stone</t>
  </si>
  <si>
    <t>Downloads folder size calculated: 3.95
Office cache folder size calculated: 20.43</t>
  </si>
  <si>
    <t>Freed up all disk space</t>
  </si>
  <si>
    <t>USLUXHYWKS2V1D</t>
  </si>
  <si>
    <t>michelle.cartwright</t>
  </si>
  <si>
    <t>Downloads folder size calculated: 2.02
Office cache folder size calculated: 51.16</t>
  </si>
  <si>
    <t>USCORHYWKS1163</t>
  </si>
  <si>
    <t>lauren.harsley</t>
  </si>
  <si>
    <t>Downloads folder size calculated: 0.10
Office cache folder size calculated: 0.30</t>
  </si>
  <si>
    <t>USACDHYWKS74B00</t>
  </si>
  <si>
    <t>sharmila.gordon</t>
  </si>
  <si>
    <t>Downloads folder size calculated: 0.82
Office cache folder size calculated: 23.04</t>
  </si>
  <si>
    <t>USCORHYWKS0827</t>
  </si>
  <si>
    <t>helen.keegan</t>
  </si>
  <si>
    <t>Downloads folder size calculated: 1.85
Office cache folder size calculated: 24.95</t>
  </si>
  <si>
    <t>USSCDSPWKS0005</t>
  </si>
  <si>
    <t>rebecca.bray</t>
  </si>
  <si>
    <t>Downloads folder size calculated: 0.00
Office cache folder size calculated: 2.95</t>
  </si>
  <si>
    <t>USCORHYWKS1242</t>
  </si>
  <si>
    <t>jared.manning</t>
  </si>
  <si>
    <t>USCORHYWKS0274</t>
  </si>
  <si>
    <t>tangela.woodley</t>
  </si>
  <si>
    <t>Office cache folder size calculated: 4.33
Downloads folder size calculated: 31.64</t>
  </si>
  <si>
    <t>USPPDFFWKSBDAC1</t>
  </si>
  <si>
    <t>Bibi.Dacosta</t>
  </si>
  <si>
    <t>Downloads folder size calculated: 1.67
Office cache folder size calculated: 18.51</t>
  </si>
  <si>
    <t>Downloads folder size calculated: 0.68
Office cache folder size calculated: 9.26</t>
  </si>
  <si>
    <t>Downloads and OFC cleared(Partial)</t>
  </si>
  <si>
    <t xml:space="preserve"> Downloads folder size calculated: 0.10
Office cache folder size calculated: 0.30</t>
  </si>
  <si>
    <r>
      <rPr>
        <sz val="11"/>
        <color rgb="FFFF0000"/>
        <rFont val="Aptos Narrow"/>
        <family val="2"/>
        <scheme val="minor"/>
      </rPr>
      <t xml:space="preserve"> Office cache directory does not exist or is not at expected path: C:\Users\jared.manning\AppData\Local\Microsoft\Office\16.0\OfficeFileCache\0\0</t>
    </r>
    <r>
      <rPr>
        <sz val="11"/>
        <color theme="1"/>
        <rFont val="Aptos Narrow"/>
        <family val="2"/>
        <scheme val="minor"/>
      </rPr>
      <t xml:space="preserve">
 Downloads folder size calculated: 3.99</t>
    </r>
  </si>
  <si>
    <t>elizabeth.mirisola</t>
  </si>
  <si>
    <t>USCORHYWKS0918</t>
  </si>
  <si>
    <t>Office cache folder size calculated: 12.00
Downloads folder size calculated: 59.50</t>
  </si>
  <si>
    <t>Office cache folder size calculated: 0.11
Downloads folder size calculated: 0.40</t>
  </si>
  <si>
    <t>Downloads folder size calculated: 0.00
Office cache folder size calculated: 1.89</t>
  </si>
  <si>
    <t>Downloads folder size calculated: 0.68
 Office cache folder size calculated: 7.50</t>
  </si>
  <si>
    <t>USCORHYWKS0228</t>
  </si>
  <si>
    <t>Yoshiko.Peterson-Wat</t>
  </si>
  <si>
    <t>USCORHYWKS0961</t>
  </si>
  <si>
    <t>fernando.febres</t>
  </si>
  <si>
    <t>Downloads folder size calculated: 2.41
Office cache folder size calculated: 27.26</t>
  </si>
  <si>
    <t>USPPDHYWKS74B13</t>
  </si>
  <si>
    <t>nancy.lerman</t>
  </si>
  <si>
    <t>Downloads folder size calculated: 1.96
Office cache folder size calculated: 5.04</t>
  </si>
  <si>
    <t>USCORPRWKSANR3</t>
  </si>
  <si>
    <t>rosalina.santiago</t>
  </si>
  <si>
    <t>Downloads folder size calculated: 0.55Office cache folder size calculated: 47.89</t>
  </si>
  <si>
    <r>
      <rPr>
        <sz val="11"/>
        <color rgb="FFFF0000"/>
        <rFont val="Aptos Narrow"/>
        <family val="2"/>
        <scheme val="minor"/>
      </rPr>
      <t>Office cache directory does not exist or is not at expected path: C:\Users\yoshiko.peterson-wat\AppData\Local\Microsoft\Office\16.0\OfficeFileCache\0\0</t>
    </r>
    <r>
      <rPr>
        <sz val="11"/>
        <color theme="1"/>
        <rFont val="Aptos Narrow"/>
        <family val="2"/>
        <scheme val="minor"/>
      </rPr>
      <t xml:space="preserve">
Downloads folder size calculated: 10.19</t>
    </r>
  </si>
  <si>
    <t>USCORCLWKS6097</t>
  </si>
  <si>
    <t>selena.yang</t>
  </si>
  <si>
    <r>
      <rPr>
        <sz val="11"/>
        <color rgb="FFFF0000"/>
        <rFont val="Aptos Narrow"/>
        <family val="2"/>
        <scheme val="minor"/>
      </rPr>
      <t>Office cache directory does not exist or is not at expected path: C:\Users\Selena.Yang\AppData\Local\Microsoft\Office\16.0\OfficeFileCache\0\0</t>
    </r>
    <r>
      <rPr>
        <sz val="11"/>
        <color theme="1"/>
        <rFont val="Aptos Narrow"/>
        <family val="2"/>
        <scheme val="minor"/>
      </rPr>
      <t xml:space="preserve">
 Downloads folder size calculated: 0.02</t>
    </r>
  </si>
  <si>
    <t>USCORHYWKS0650</t>
  </si>
  <si>
    <t>michelle.dickstein</t>
  </si>
  <si>
    <t>Downloads folder size calculated: 0.04
Office cache folder size calculated: 0.19</t>
  </si>
  <si>
    <t>USSCDSPWKS0049</t>
  </si>
  <si>
    <t>thomas.seng</t>
  </si>
  <si>
    <t>Office cache folder size calculated: 0.69
Downloads folder size calculated: 3.94</t>
  </si>
  <si>
    <t>Downloads folder size calculated: 0.53
Office cache folder size calculated: 7.57</t>
  </si>
  <si>
    <t>Downloads folder size calculated: 0.55
Office cache folder size calculated: 47.89</t>
  </si>
  <si>
    <t>USCORHYWKS0891</t>
  </si>
  <si>
    <t>tiffany.lecadre</t>
  </si>
  <si>
    <t>Downloads folder size calculated: 51.65
Office cache folder size calculated: 6.48</t>
  </si>
  <si>
    <t>USCPDHYWKS01YQ8</t>
  </si>
  <si>
    <t>hana.al-madhoun</t>
  </si>
  <si>
    <t>Office cache folder size calculated: 32.66
Downloads folder size calculated: 56.26</t>
  </si>
  <si>
    <t>USCORHYWKS01Y3G</t>
  </si>
  <si>
    <t>kalini.patel</t>
  </si>
  <si>
    <t xml:space="preserve"> Downloads folder size calculated: 5.20
Office cache folder size calculated: 92.41</t>
  </si>
  <si>
    <t>USCORHYWKS0785</t>
  </si>
  <si>
    <t>Alexia.Silver</t>
  </si>
  <si>
    <t>Downloads folder size calculated: 14.00
Office cache folder size calculated: 7.45</t>
  </si>
  <si>
    <t>USCORHYWKS74B1F</t>
  </si>
  <si>
    <t>kaitlyn.pfohl</t>
  </si>
  <si>
    <t>Moved files from downloads to onedrive and OFC cleared</t>
  </si>
  <si>
    <t>Downloads folder size calculated: 0.41
Office cache folder size calculated: 0.51</t>
  </si>
  <si>
    <t>USCORHYWKSDGAL2</t>
  </si>
  <si>
    <t>daniel.galligan</t>
  </si>
  <si>
    <t>Office cache folder size calculated: 1.84
Downloads folder size calculated: 5.97</t>
  </si>
  <si>
    <t>USCORSBWKS00152</t>
  </si>
  <si>
    <t>laura.drake</t>
  </si>
  <si>
    <t>Downloads folder size calculated: 1.37
Office cache folder size calculated: 2.66</t>
  </si>
  <si>
    <t>Downloads folder size calculated: 0.34
Office cache folder size calculated: 0.51</t>
  </si>
  <si>
    <t>USSCDMGRWKS5934</t>
  </si>
  <si>
    <t>scstore.5934</t>
  </si>
  <si>
    <t>Downloads folder size calculated: 0.02
Office cache folder size calculated: 0.13</t>
  </si>
  <si>
    <t>satish.kandukuri</t>
  </si>
  <si>
    <t>USCORSBWKS00673</t>
  </si>
  <si>
    <t>Downloads folder size calculated: 7.05
Office cache folder size calculated: 28.50</t>
  </si>
  <si>
    <t>USCPDCBWKS46002</t>
  </si>
  <si>
    <t>jerian.baynes</t>
  </si>
  <si>
    <t>Office cache folder size calculated: 10.04
Downloads folder size calculated: 39.18</t>
  </si>
  <si>
    <t>USCPDFFWKSJCLO1</t>
  </si>
  <si>
    <t>jennifer.clough</t>
  </si>
  <si>
    <t xml:space="preserve"> Office cache directory does not exist or is not at expected path: C:\Users\jennifer.clough\AppData\Local\Microsoft\Office\16.0\OfficeFileCache\0\0
+J64 Downloads folder size calculated: 12.16</t>
  </si>
  <si>
    <t>USTRAWKSCGUZMAN</t>
  </si>
  <si>
    <t>cynthie.deguzman</t>
  </si>
  <si>
    <t>Downloads folder size calculated: 3.59
Office cache folder size calculated: 51.30</t>
  </si>
  <si>
    <t>USLUXNBWKS0448</t>
  </si>
  <si>
    <t>rodney.hough</t>
  </si>
  <si>
    <t>Downloads folder size calculated: 0.00
Office cache folder size calculated: 33.68</t>
  </si>
  <si>
    <t>Downloads folder size calculated: 6.07
Office cache folder size calculated: 0.62</t>
  </si>
  <si>
    <t>megan.reznik</t>
  </si>
  <si>
    <t>USCORHYWKS0283</t>
  </si>
  <si>
    <t>Downloads folder size calculated: 38.29
Office cache folder size calculated: 86.58</t>
  </si>
  <si>
    <t>USCPDHYWKS42R4K</t>
  </si>
  <si>
    <t>ibelmis.minaya</t>
  </si>
  <si>
    <t>Downloads folder size calculated: 32.94
Office cache folder size calculated: 42.94</t>
  </si>
  <si>
    <t>USLUXHYWKS03WV5</t>
  </si>
  <si>
    <t>felicia.camme</t>
  </si>
  <si>
    <t>Downloads folder size calculated: 45.79
 Office cache folder size calculated: 49.87</t>
  </si>
  <si>
    <t>USCORHYWKS1184</t>
  </si>
  <si>
    <t>stephanie.davidson</t>
  </si>
  <si>
    <t>Downloads folder size calculated: 33.82
Office cache folder size calculated: 14.28</t>
  </si>
  <si>
    <t>USLUXESWKS42W4H</t>
  </si>
  <si>
    <t>ana.leisner</t>
  </si>
  <si>
    <t>Downloads folder size calculated: 56.66
Office cache folder size calculated: 41.72</t>
  </si>
  <si>
    <t>USCORHYWKS1238</t>
  </si>
  <si>
    <t>elisa.galassi</t>
  </si>
  <si>
    <t>Downloads folder size calculated: 0.87</t>
  </si>
  <si>
    <t>USCORSBWKS00641</t>
  </si>
  <si>
    <t>stephen.tillack</t>
  </si>
  <si>
    <t>Office cache folder size calculated: 0.20
Downloads folder size calculated: 2.20</t>
  </si>
  <si>
    <t>xi.yan</t>
  </si>
  <si>
    <t>Downloads folder size calculated: 47.11
Office cache folder size calculated: 22.75</t>
  </si>
  <si>
    <t>Office cache folder size calculated: 2.68
Downloads folder size calculated: 59.53</t>
  </si>
  <si>
    <t>USCORHYWKSACHE2</t>
  </si>
  <si>
    <t>austin.chen</t>
  </si>
  <si>
    <t>Office cache folder size calculated: 6.93
Downloads folder size calculated: 0.78</t>
  </si>
  <si>
    <t>OFC cleared</t>
  </si>
  <si>
    <t>USCORHYWKS1036</t>
  </si>
  <si>
    <t>katherine.desloge</t>
  </si>
  <si>
    <t>Office cache folder size calculated: 76.86
Downloads folder size calculated: 0.10</t>
  </si>
  <si>
    <t>Downloads folder size calculated: 46.30
Office cache folder size calculated: 43.99</t>
  </si>
  <si>
    <t>USCORHYWKSGNR16</t>
  </si>
  <si>
    <t>jevon.craig</t>
  </si>
  <si>
    <t>Office cache folder size calculated: 2.59
Downloads folder size calculated: 7.59</t>
  </si>
  <si>
    <t>Downloads cleared</t>
  </si>
  <si>
    <t>USCORHYWKS0819</t>
  </si>
  <si>
    <t>carolina.toropalacio</t>
  </si>
  <si>
    <t>Downloads folder size calculated: 0.01
Office cache folder size calculated: 36.48</t>
  </si>
  <si>
    <t>Downloads folder size calculated: 0.78
Office cache folder size calculated: 6.44</t>
  </si>
  <si>
    <t>Downloads folder size calculated: 0.10
Office cache folder size calculated: 0.13</t>
  </si>
  <si>
    <t>Downloads folder size calculated: 5.56
Office cache folder size calculated: 75.68</t>
  </si>
  <si>
    <t>USLUXNBWKS0236</t>
  </si>
  <si>
    <t>Leydin.Chavez</t>
  </si>
  <si>
    <t>Downloads folder size calculated: 6.16
Office cache folder size calculated: 11.87</t>
  </si>
  <si>
    <t>USCORWKS0000854</t>
  </si>
  <si>
    <t>pamela.gold</t>
  </si>
  <si>
    <t>Downloads folder size calculated: 11.58
Office cache folder size calculated: 19.37</t>
  </si>
  <si>
    <t>USCPDHYWKSCRYA1</t>
  </si>
  <si>
    <t>catherine.ryan</t>
  </si>
  <si>
    <t>Downloads folder size calculated: 12.38
Office cache folder size calculated: 65.23</t>
  </si>
  <si>
    <t>USCPDHYWKSLLEG2</t>
  </si>
  <si>
    <t>tricia.poles</t>
  </si>
  <si>
    <t>Downloads folder size calculated: 40.18
Office cache folder size calculated: 9.17</t>
  </si>
  <si>
    <t>USCPDHYWKSGENO1</t>
  </si>
  <si>
    <t>joann.kim</t>
  </si>
  <si>
    <t>Downloads folder size calculated: 1.05
Office cache folder size calculated: 14.45</t>
  </si>
  <si>
    <t>Downloads folder size calculated: 7.13
Office cache folder size calculated: 1.75</t>
  </si>
  <si>
    <t>USCORHYWKS0665</t>
  </si>
  <si>
    <t>danielle.singh</t>
  </si>
  <si>
    <t>Downloads folder size calculated: 15.29
Office cache folder size calculated: 12.89</t>
  </si>
  <si>
    <t>USCORHYWKS0801</t>
  </si>
  <si>
    <t>lorenzo.soler</t>
  </si>
  <si>
    <t>Downloads folder size calculated: 0.85
Office cache folder size calculated: 22.20</t>
  </si>
  <si>
    <t>USCORHYWKS1345</t>
  </si>
  <si>
    <t>emily.wilson</t>
  </si>
  <si>
    <t>Downloads folder size calculated: 0.25
Office cache folder size calculated: 14.06</t>
  </si>
  <si>
    <t>USCPDHYWKSACOU3</t>
  </si>
  <si>
    <t>ANTONIA.COURY2</t>
  </si>
  <si>
    <t>Downloads folder size calculated: 3.37
Office cache folder size calculated: 37.41</t>
  </si>
  <si>
    <t>Downloads folder size calculated: 0.10
Office cache folder size calculated: 0.20</t>
  </si>
  <si>
    <t>Downloads folder size calculated: 0.20
Office cache folder size calculated: 1.73</t>
  </si>
  <si>
    <t>Downloads folder size calculated: 0.02
Office cache folder size calculated: 0.12</t>
  </si>
  <si>
    <t>Office cache folder size calculated: 2.84
Downloads folder size calculated: 0.83</t>
  </si>
  <si>
    <t>USCORWKS0000643</t>
  </si>
  <si>
    <t>tracy2.wang</t>
  </si>
  <si>
    <t>Office cache folder size calculated: 3.59
Downloads folder size calculated: 0.81</t>
  </si>
  <si>
    <t>USCORHYWKS0745</t>
  </si>
  <si>
    <t>Heather.ROFF</t>
  </si>
  <si>
    <t>Downloads folder size calculated: 0.58
Office cache folder size calculated: 2.10</t>
  </si>
  <si>
    <t>USLUXHYWKS74B4J</t>
  </si>
  <si>
    <t>nico.lubkeman</t>
  </si>
  <si>
    <t>Downloads folder size calculated: 5.26
Office cache folder size calculated: 62.54</t>
  </si>
  <si>
    <t>Downloads folder size calculated: 7.13
Office cache folder size calculated: 1.55</t>
  </si>
  <si>
    <t>USCORSBWKS0812</t>
  </si>
  <si>
    <t>mackenzie.wellington</t>
  </si>
  <si>
    <t>Downloads folder size calculated: 0.04
Office cache folder size calculated: 16.27</t>
  </si>
  <si>
    <t>USCPDHYWKSAWAN1</t>
  </si>
  <si>
    <t>alexander2.wang</t>
  </si>
  <si>
    <t>Downloads folder size calculated: 1.49
Office cache folder size calculated: 51.40</t>
  </si>
  <si>
    <t>USCORBHWKSBCHA2</t>
  </si>
  <si>
    <t>benny.chan</t>
  </si>
  <si>
    <t>Office cache folder size calculated: 1.81
Downloads folder size calculated: 14.34</t>
  </si>
  <si>
    <t>Office cache folder size calculated: 3.88
Downloads folder size calculated: 0.84</t>
  </si>
  <si>
    <t>USCPDHYWKS74C2Q</t>
  </si>
  <si>
    <t>Office cache folder size calculated: 1.80
Downloads folder size calculated: 27.26</t>
  </si>
  <si>
    <t>USCORHYWKS1035</t>
  </si>
  <si>
    <t>rachel.courtien</t>
  </si>
  <si>
    <t>maja.sahmanovic</t>
  </si>
  <si>
    <t>Office cache directory does not exist or is not at expected path: C:\Users\Rachel.Courtien\AppData\Local\Microsoft\Office\16.0\OfficeFileCache\0\0
Downloads folder size calculated: 21.38</t>
  </si>
  <si>
    <t>USSCDSPWKSMKAR2</t>
  </si>
  <si>
    <t>Marty.Karnegie</t>
  </si>
  <si>
    <t>Downloads folder size calculated: 2.43
Office cache folder size calculated: 0.12</t>
  </si>
  <si>
    <t>USPPDHYWKSRAMA2</t>
  </si>
  <si>
    <t>rebecca.amato</t>
  </si>
  <si>
    <t>Office cache directory does not exist or is not at expected path: C:\Users\Rebecca.Amato\AppData\Local\Microsoft\Office\16.0\OfficeFileCache\0\0
Downloads folder size calculated: 8.18</t>
  </si>
  <si>
    <t>Office cache folder size calculated: 0.11
Downloads folder size calculated: 4.20</t>
  </si>
  <si>
    <t>Downloads folder size calculated: 13.74
Office cache folder size calculated: 51.04</t>
  </si>
  <si>
    <t>USPPDHYWKSMDEI3</t>
  </si>
  <si>
    <t>mika.deiner</t>
  </si>
  <si>
    <t>USCORHYWKS1040</t>
  </si>
  <si>
    <t>john.reed</t>
  </si>
  <si>
    <t>Downloads folder size calculated: 13.27
Office cache folder size calculated: 12.24</t>
  </si>
  <si>
    <t>jessica.toro</t>
  </si>
  <si>
    <t>Office cache folder size calculated: 17.69
Downloads folder size calculated: 0.51</t>
  </si>
  <si>
    <t>USLUXHSWKS42RH7</t>
  </si>
  <si>
    <t>Downloads folder size calculated: 2.20
Office files cache directory does not exist: C:\Users\mary.pugacheva\AppData\Local\Microsoft\Office\16.0\OfficeFileCache\0\0</t>
  </si>
  <si>
    <t>mary.pugacheva</t>
  </si>
  <si>
    <t>USCPDHYWKS42Y7F</t>
  </si>
  <si>
    <t>USCORHYWKS1019</t>
  </si>
  <si>
    <t>gianna.carifo</t>
  </si>
  <si>
    <t>Downloads folder size calculated: 1.67
Office cache folder size calculated: 26.37</t>
  </si>
  <si>
    <t xml:space="preserve"> 8/14/2025 12:11:07</t>
  </si>
  <si>
    <t>USCORSBWKS00360</t>
  </si>
  <si>
    <t>lauren.gamba</t>
  </si>
  <si>
    <t>Downloads folder size calculated: 1.75
Office cache folder size calculated: 0.77</t>
  </si>
  <si>
    <t>Rayvion.Sanford</t>
  </si>
  <si>
    <t>USLUXNBWKS0435</t>
  </si>
  <si>
    <t>USLUXHYWKSGENO8</t>
  </si>
  <si>
    <t>leo.kim</t>
  </si>
  <si>
    <t>Downloads folder size calculated: 2.05
Office cache folder size calculated: 8.07</t>
  </si>
  <si>
    <t>USCORWKS0000365</t>
  </si>
  <si>
    <t>angelica.delotero</t>
  </si>
  <si>
    <t>Downloads folder size calculated: 2.22
Office cache folder size calculated: 40.50</t>
  </si>
  <si>
    <t>OFC Cleared Partial</t>
  </si>
  <si>
    <t>Office cache folder size calculated: 0.20
Downloads folder size calculated: 1.65</t>
  </si>
  <si>
    <t>Downloads folder size calculated: 3.48
Office cache folder size calculated: 34.23</t>
  </si>
  <si>
    <t>USCORHYWKS0951</t>
  </si>
  <si>
    <t>Adriana.Harmon</t>
  </si>
  <si>
    <t>Office cache folder size calculated: 10.80
Downloads folder size calculated: 26.78</t>
  </si>
  <si>
    <t>Office cache folder size calculated: 6.67
Downloads folder size calculated: 0.81</t>
  </si>
  <si>
    <t>USCORHYWKS0680</t>
  </si>
  <si>
    <t>arielle.koeppel</t>
  </si>
  <si>
    <t>Downloads folder size calculated: 0.67
Office cache folder size calculated: 15.24</t>
  </si>
  <si>
    <t>USCORWKS0000373</t>
  </si>
  <si>
    <t>Tara.Grande</t>
  </si>
  <si>
    <t>Downloads folder size calculated: 4.29
Office cache folder size calculated: 2.27</t>
  </si>
  <si>
    <t>USCORSBWKS00290</t>
  </si>
  <si>
    <t>yu-wen.chang</t>
  </si>
  <si>
    <t>Downloads folder size calculated: 2.76
Office cache folder size calculated: 24.02</t>
  </si>
  <si>
    <t>Downloads folder size calculated: 0.00
Office cache folder size calculated: 1.69</t>
  </si>
  <si>
    <t>Office cache folder size calculated: 0.12
Downloads folder size calculated: 0.02</t>
  </si>
  <si>
    <t>OFC and Downloads sizes</t>
  </si>
  <si>
    <t>Initial Free Disk Space(GB)</t>
  </si>
  <si>
    <t>Free Disk Space on close(GB)</t>
  </si>
  <si>
    <t>Freedup disk space(GB)</t>
  </si>
  <si>
    <t>USCORWKS0000361</t>
  </si>
  <si>
    <t>kylie.kardos</t>
  </si>
  <si>
    <t>Downloads folder size calculated: 54.47</t>
  </si>
  <si>
    <t>Downloads folder size calculated: 0.01
Office cache folder size calculated: 15.24</t>
  </si>
  <si>
    <t>Downloads folder size calculated: 1.66
Office cache folder size calculated: 0.08</t>
  </si>
  <si>
    <t>Downloads folder size calculated: 0.73
Office cache folder size calculated: 2.18</t>
  </si>
  <si>
    <t>USCORHYWKS1028</t>
  </si>
  <si>
    <t>emily.kettenacker</t>
  </si>
  <si>
    <t>Office cache folder size calculated: 1.38
Downloads folder size calculated: 50.46</t>
  </si>
  <si>
    <t>USCORHYWKS1099</t>
  </si>
  <si>
    <t>julie.selig</t>
  </si>
  <si>
    <t>Downloads folder size calculated: 6.81
Office cache folder size calculated: 41.52</t>
  </si>
  <si>
    <t>Downloads folder size calculated: 0.42
Office cache folder size calculated: 15.23</t>
  </si>
  <si>
    <t>Office cache directory does not exist or is not at expected path: C:\Users\yoshiko.peterson-wat\AppData\Local\Microsoft\Office\16.0\OfficeFileCache\0\0
Downloads folder size calculated: 3.09</t>
  </si>
  <si>
    <t>Office cache folder size calculated: 10.23
Downloads folder size calculated: 39.18</t>
  </si>
  <si>
    <t>USACDHYWKSMVID2</t>
  </si>
  <si>
    <t>Melanie.VIDAL</t>
  </si>
  <si>
    <t>Downloads folder size calculated: 31.03
Office cache folder size calculated: 37.04</t>
  </si>
  <si>
    <t>USCORSBWKS00042</t>
  </si>
  <si>
    <t>rebecca.dryl</t>
  </si>
  <si>
    <t>Downloads folder size calculated: 5.30
Office cache folder size calculated: 47.79</t>
  </si>
  <si>
    <t>Downloads folder size calculated: 0.38
Office cache folder size calculated: 6.72</t>
  </si>
  <si>
    <t>Office cache folder size calculated: 7.14
Downloads folder size calculated: 1.53</t>
  </si>
  <si>
    <t>Office cache folder size calculated: 0.12
Downloads folder size calculated: 26.13</t>
  </si>
  <si>
    <t>Downloads cleared, 1 file</t>
  </si>
  <si>
    <t>USCORHYWKS1100</t>
  </si>
  <si>
    <t>charley.wolfe</t>
  </si>
  <si>
    <t>Office cache directory does not exist or is not at expected path: C:\Users\charley.wolfe\AppData\Local\Microsoft\Office\16.0\OfficeFileCache\0\0
Downloads folder size calculated: 43.05</t>
  </si>
  <si>
    <t>Downloads cleared, 2 file(s)</t>
  </si>
  <si>
    <t>USCORSBWKS00075</t>
  </si>
  <si>
    <t>John.Ballanco</t>
  </si>
  <si>
    <t xml:space="preserve"> Office cache directory does not exist or is not at expected path: C:\Users\john.ballanco\AppData\Local\Microsoft\Office\16.0\OfficeFileCache\0\0
Downloads folder size calculated: 3.03</t>
  </si>
  <si>
    <t>USLUXSBWKSMHAG1</t>
  </si>
  <si>
    <t>megan.haggerty</t>
  </si>
  <si>
    <t>Downloads folder size calculated: 12.25
Office cache folder size calculated: 9.94</t>
  </si>
  <si>
    <t>Downloads folder size calculated: 0.38
Office cache folder size calculated: 4.98</t>
  </si>
  <si>
    <t>Downloads folder size calculated: 6.81
Office cache folder size calculated: 40.79</t>
  </si>
  <si>
    <t>Downloads folder size calculated: 0.38
Office cache folder size calculated: 2.89</t>
  </si>
  <si>
    <t>Romane.LEBEAU</t>
  </si>
  <si>
    <t>USCPDHYWKS74BHV</t>
  </si>
  <si>
    <t>USCORWKS0000139</t>
  </si>
  <si>
    <t>alexandra.stock</t>
  </si>
  <si>
    <t>Downloads folder size calculated: 14.70
Office cache folder size calculated: 20.67</t>
  </si>
  <si>
    <t>Office cache folder size calculated: 0.12
Downloads folder size calculated: 25.14</t>
  </si>
  <si>
    <t>USCORHYWKS0637</t>
  </si>
  <si>
    <t>christopher.fecci</t>
  </si>
  <si>
    <t>Office cache folder size calculated: 1.90
Downloads folder size calculated: 65.85</t>
  </si>
  <si>
    <t>Downloads folder size calculated: 0.47
Office cache folder size calculated: 8.40</t>
  </si>
  <si>
    <t>Downloads folder size calculated: 0.01
Office cache folder size calculated: 0.21</t>
  </si>
  <si>
    <t>Downloads folder size calculated: 5.76
Office cache folder size calculated: 0.10</t>
  </si>
  <si>
    <t>Machines with disk space still &lt; 15GB</t>
  </si>
  <si>
    <t>Machines with no user action</t>
  </si>
  <si>
    <t>Total machines, where logs are collected(Critical disk space &lt;15 GB)</t>
  </si>
  <si>
    <t>Machines with no user action and free space &lt; 15 GB</t>
  </si>
  <si>
    <t>Machines with no user action and free space &gt;= 15 GB</t>
  </si>
  <si>
    <t>Machines with disk space &gt;= 15GB, after application clean up</t>
  </si>
  <si>
    <t>Downloads folder size calculated: 0.12
Office cache folder size calculated: 12.87</t>
  </si>
  <si>
    <t>Downloads folder size calculated: 0.40
Office cache folder size calculated: 7.85</t>
  </si>
  <si>
    <t>Error deleting OFC as files are in user. No other user action</t>
  </si>
  <si>
    <t>USCORWKS0001131</t>
  </si>
  <si>
    <t>jeyson.pardo</t>
  </si>
  <si>
    <t>Downloads folder size calculated: 21.72
Office cache folder size calculated: 28.97</t>
  </si>
  <si>
    <t>USTRAWKSJRONGVU</t>
  </si>
  <si>
    <t>santiago.tobon</t>
  </si>
  <si>
    <t>Downloads folder size calculated: 0.28
Office cache folder size calculated: 3.38</t>
  </si>
  <si>
    <t>Downloads folder size calculated: 4.95
Office cache folder size calculated: 60.58</t>
  </si>
  <si>
    <t>USCORCLWKS3WB3</t>
  </si>
  <si>
    <t>Michelle.L.White</t>
  </si>
  <si>
    <r>
      <rPr>
        <sz val="11"/>
        <color rgb="FFFF0000"/>
        <rFont val="Aptos Narrow"/>
        <family val="2"/>
        <scheme val="minor"/>
      </rPr>
      <t xml:space="preserve"> Office cache directory does not exist or is not at expected path: C:\Users\Michelle.L.White\AppData\Local\Microsoft\Office\16.0\OfficeFileCache\0\0</t>
    </r>
    <r>
      <rPr>
        <sz val="11"/>
        <color theme="1"/>
        <rFont val="Aptos Narrow"/>
        <family val="2"/>
        <scheme val="minor"/>
      </rPr>
      <t xml:space="preserve">
 Downloads folder size calculated: 0.65</t>
    </r>
  </si>
  <si>
    <t xml:space="preserve"> Office cache directory does not exist or is not at expected path: C:\Users\yoshiko.peterson-wat\AppData\Local\Microsoft\Office\16.0\OfficeFileCache\0\0
Downloads folder size calculated: 2.65</t>
  </si>
  <si>
    <t>USCORSBWKS00173</t>
  </si>
  <si>
    <t>NALOREAL\beck.morgan</t>
  </si>
  <si>
    <t xml:space="preserve"> 8/26/2025 2:20:16 PM</t>
  </si>
  <si>
    <t>Downloads folder size calculated: 1.81
Office cache folder size calculated: 4.46</t>
  </si>
  <si>
    <t>Office cache folder size calculated: 10.26
Downloads folder size calculated: 39.18</t>
  </si>
  <si>
    <t>USLUXHYWKS4BL6</t>
  </si>
  <si>
    <t>jayson.james</t>
  </si>
  <si>
    <t>Office cache folder size calculated: 12.19
Downloads folder size calculated: 56.51</t>
  </si>
  <si>
    <t>USACDHYWKS42PWC</t>
  </si>
  <si>
    <t>michaela.papale</t>
  </si>
  <si>
    <t>Office cache directory does not exist or is not at expected path: C:\Users\michaela.papale\AppData\Local\Microsoft\Office\16.0\OfficeFileCache\0\0
Downloads folder size calculated: 9.32</t>
  </si>
  <si>
    <t>USCORHYWKS2RHB</t>
  </si>
  <si>
    <t>amenda.lee</t>
  </si>
  <si>
    <t>Office cache folder size calculated: 36.38
Downloads folder size calculated: 2.96</t>
  </si>
  <si>
    <t>Downloads folder size calculated: 71.11
Office cache folder size calculated: 2.62</t>
  </si>
  <si>
    <t>USCORWKS0000374</t>
  </si>
  <si>
    <t>jullia.pham</t>
  </si>
  <si>
    <t>Office cache folder size calculated: 2.68
Downloads folder size calculated: 27.67</t>
  </si>
  <si>
    <t>Office cache directory does not exist or is not at expected path: C:\Users\jennifer.clough\AppData\Local\Microsoft\Office\16.0\OfficeFileCache\0\0
Downloads folder size calculated: 12.17</t>
  </si>
  <si>
    <t>USCORSBWKS00188</t>
  </si>
  <si>
    <t>matthew.george</t>
  </si>
  <si>
    <t>Downloads folder size calculated: 14.42
Office cache folder size calculated: 10.63</t>
  </si>
  <si>
    <t>Downloads folder size calculated: 0.40
Office cache folder size calculated: 49.56</t>
  </si>
  <si>
    <t>USCORWKS0001246</t>
  </si>
  <si>
    <t>clare.dibella</t>
  </si>
  <si>
    <t>Office cache folder size calculated: 38.60
Downloads folder size calculated: 15.00</t>
  </si>
  <si>
    <t>Downloads folder size calculated: 6.12
Office cache folder size calculated: 3.87</t>
  </si>
  <si>
    <t>USACDFFWKS2YL8</t>
  </si>
  <si>
    <t>jill.smail</t>
  </si>
  <si>
    <t>Office cache folder size calculated: 2.08
Downloads folder size calculated: 64.70</t>
  </si>
  <si>
    <t>Office cache directory does not exist or is not at expected path: C:\Users\Rebecca.Amato\AppData\Local\Microsoft\Office\16.0\OfficeFileCache\0\0
Downloads folder size calculated: 6.98</t>
  </si>
  <si>
    <t>USCORSBWKS0798</t>
  </si>
  <si>
    <t>Virginia.CAMPOS</t>
  </si>
  <si>
    <t>Downloads folder size calculated: 0.01
Office cache folder size calculated: 19.99</t>
  </si>
  <si>
    <t>USMFGFRKWKS0410</t>
  </si>
  <si>
    <t>james.butler</t>
  </si>
  <si>
    <t>Downloads folder size calculated: 1.66
Office cache folder size calculated: 42.95</t>
  </si>
  <si>
    <t>USLUXHYWKSATOT1</t>
  </si>
  <si>
    <t>adriana.totino</t>
  </si>
  <si>
    <t>Downloads folder size calculated: 0.19
Office cache folder size calculated: 36.85</t>
  </si>
  <si>
    <t>Office cache directory does not exist or is not at expected path: C:\Users\Michelle.L.White\AppData\Local\Microsoft\Office\16.0\OfficeFileCache\0\0
Downloads folder size calculated: 0.47</t>
  </si>
  <si>
    <t>USCORSBWKS00586</t>
  </si>
  <si>
    <t>Jose.M.SANCHEZ</t>
  </si>
  <si>
    <t>Office cache directory does not exist or is not at expected path: C:\Users\jose.m.sanchez\AppData\Local\Microsoft\Office\16.0\OfficeFileCache\0\0
Downloads folder size calculated: 0.19</t>
  </si>
  <si>
    <t>USLUXESWKS1157S</t>
  </si>
  <si>
    <t>ashley.britt</t>
  </si>
  <si>
    <t>Downloads folder size calculated: 72.36
Office cache folder size calculated: 0.94</t>
  </si>
  <si>
    <t>Downloads folder size calculated: 0.63
Office cache folder size calculated: 6.96</t>
  </si>
  <si>
    <t>USCORHYWKS602L6</t>
  </si>
  <si>
    <t>sarah.polowykow</t>
  </si>
  <si>
    <t>Downloads folder size calculated: 0.71
Office cache folder size calculated: 56.86</t>
  </si>
  <si>
    <t>USCORWKS0000631</t>
  </si>
  <si>
    <t>tara.mcloughlin</t>
  </si>
  <si>
    <t>Downloads folder size calculated: 57.73</t>
  </si>
  <si>
    <t>USLUXHYWKSDJES1</t>
  </si>
  <si>
    <t>jessica.dilullo</t>
  </si>
  <si>
    <t>Downloads folder size calculated: 19.54</t>
  </si>
  <si>
    <t>USCORHYWKS0770</t>
  </si>
  <si>
    <t>alexandra.valentin</t>
  </si>
  <si>
    <t>Downloads folder size calculated: 16.98
Office cache folder size calculated: 24.76</t>
  </si>
  <si>
    <t>USCORHYWKS0945</t>
  </si>
  <si>
    <t>samantha.seward</t>
  </si>
  <si>
    <t>Office cache directory does not exist or is not at expected path: C:\Users\samantha.wagner\AppData\Local\Microsoft\Office\16.0\OfficeFileCache\0\0
Downloads folder size calculated: 9.69</t>
  </si>
  <si>
    <t>USCORHYWKS2VF4</t>
  </si>
  <si>
    <t>Athicha.NONTIKARN</t>
  </si>
  <si>
    <t>Office cache directory does not exist or is not at expected path: C:\Users\athicha.nontikarn\AppData\Local\Microsoft\Office\16.0\OfficeFileCache\0\0
Downloads folder size calculated: 0.09</t>
  </si>
  <si>
    <t>Office cache directory does not exist or is not at expected path: C:\Users\samantha.wagner\AppData\Local\Microsoft\Office\16.0\OfficeFileCache\0\0
Downloads folder size calculated: 10.08</t>
  </si>
  <si>
    <t>USSCDSPWKSCTUT2</t>
  </si>
  <si>
    <t>carrie.tuttle</t>
  </si>
  <si>
    <t>Downloads folder size calculated: 8.16
Office cache folder size calculated: 3.36</t>
  </si>
  <si>
    <t>USCORSBWKS00191</t>
  </si>
  <si>
    <t>madeline.earle</t>
  </si>
  <si>
    <t>Downloads folder size calculated: 1.45
Office cache folder size calculated: 84.70</t>
  </si>
  <si>
    <t>USCORWKS0003082</t>
  </si>
  <si>
    <t>natasha.wray</t>
  </si>
  <si>
    <t>Downloads folder size calculated: 19.94
Office cache folder size calculated: 85.62</t>
  </si>
  <si>
    <t>Office cache folder size calculated: 1.78
Downloads folder size calculated: 0.65</t>
  </si>
  <si>
    <t>Office cache folder size calculated: 10.26
Downloads folder size calculated: 38.37</t>
  </si>
  <si>
    <t>USCORHYWKS0993</t>
  </si>
  <si>
    <t>leah.shindler</t>
  </si>
  <si>
    <t>Downloads folder size calculated: 18.87
Office cache folder size calculated: 23.67</t>
  </si>
  <si>
    <t>USCORHYWKSGPES2</t>
  </si>
  <si>
    <t>gregoire.pesty</t>
  </si>
  <si>
    <t>Downloads folder size calculated: 0.17
Office cache folder size calculated: 25.60</t>
  </si>
  <si>
    <t>Office cache directory does not exist or is not at expected path: C:\Users\samantha.wagner\AppData\Local\Microsoft\Office\16.0\OfficeFileCache\0\0
Downloads folder size calculated: 10.35</t>
  </si>
  <si>
    <t>Downloads folder size calculated: 0.00
Office cache folder size calculated: 24.49</t>
  </si>
  <si>
    <t>USLUXHYWKS74BL2</t>
  </si>
  <si>
    <t>ronald.onorato</t>
  </si>
  <si>
    <t>Downloads folder size calculated: 0.01
Office cache folder size calculated: 4.90</t>
  </si>
  <si>
    <t>USCORHYWKS1306</t>
  </si>
  <si>
    <t>hadley.potts</t>
  </si>
  <si>
    <t>Downloads folder size calculated: 3.91
Office cache folder size calculated: 45.30</t>
  </si>
  <si>
    <t>USCPDHYWKSGEN11</t>
  </si>
  <si>
    <t>Gina.FERNANDEZ</t>
  </si>
  <si>
    <t>Downloads folder size calculated: 11.29
Office cache folder size calculated: 40.39</t>
  </si>
  <si>
    <t>Downloads folder size calculated: 8.27
Office cache folder size calculated: 2.76</t>
  </si>
  <si>
    <t>USCPDHYWKS42Q72</t>
  </si>
  <si>
    <t>malorie.lipstein</t>
  </si>
  <si>
    <t>Downloads folder size calculated: 0.00
Office cache folder size calculated: 0.20</t>
  </si>
  <si>
    <t>Downloads folder size calculated: 12.40
Office cache folder size calculated: 65.32</t>
  </si>
  <si>
    <t>USLUXESWKS90CFZ</t>
  </si>
  <si>
    <t>santiago.amaya</t>
  </si>
  <si>
    <t>Downloads folder size calculated: 0.00
Office cache folder size calculated: 117.00</t>
  </si>
  <si>
    <t>USCORWKS0002314</t>
  </si>
  <si>
    <t>elizabeth.counihan</t>
  </si>
  <si>
    <t>Downloads folder size calculated: 3.92</t>
  </si>
  <si>
    <t>Downloads folder size calculated: 0.02
Office cache folder size calculated: 4.62</t>
  </si>
  <si>
    <t>candace.brown</t>
  </si>
  <si>
    <t>Office cache folder size calculated: 35.08
Downloads folder size calculated: 20.95</t>
  </si>
  <si>
    <t>USCORHYWKS0820</t>
  </si>
  <si>
    <t>kristan.maurer</t>
  </si>
  <si>
    <t>Office cache folder size calculated: 13.44
Downloads folder size calculated: 2.09</t>
  </si>
  <si>
    <t>Downloads folder size calculated: 8.29
Office cache folder size calculated: 2.83</t>
  </si>
  <si>
    <t>USLUXHYWKSGEN28</t>
  </si>
  <si>
    <t>yessenia.aparicio</t>
  </si>
  <si>
    <t>Downloads folder size calculated: 14.31
Office cache folder size calculated: 6.33</t>
  </si>
  <si>
    <t>USLUXNBWKS0224</t>
  </si>
  <si>
    <t>cedricm.porst</t>
  </si>
  <si>
    <t>Downloads folder size calculated: 3.78
Office cache folder size calculated: 3.04</t>
  </si>
  <si>
    <t>USCORPRWKSNROD3</t>
  </si>
  <si>
    <t>nirma.rodriguez</t>
  </si>
  <si>
    <t>Downloads folder size calculated: 5.93
Office cache folder size calculated: 18.54</t>
  </si>
  <si>
    <t>USCORWKS0000391</t>
  </si>
  <si>
    <t>misa.shimada</t>
  </si>
  <si>
    <t>Downloads folder size calculated: 3.52
Office cache folder size calculated: 57.06</t>
  </si>
  <si>
    <t>USACDFFWKS42WPN</t>
  </si>
  <si>
    <t>amanda.gottfried</t>
  </si>
  <si>
    <t>Downloads folder size calculated: 9.07
Office cache folder size calculated: 44.62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</si>
</sst>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0"/>
      <color rgb="FF000000"/>
      <name val="Tahoma"/>
      <family val="2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9C5700"/>
      <name val="Aptos Narrow"/>
      <scheme val="minor"/>
    </font>
    <font>
      <sz val="11"/>
      <color rgb="FF9C0006"/>
      <name val="Aptos Narrow"/>
      <scheme val="minor"/>
    </font>
    <font>
      <b/>
      <sz val="11"/>
      <color rgb="FF000000"/>
      <name val="Aptos Narrow"/>
      <family val="2"/>
    </font>
    <font>
      <sz val="10"/>
      <color rgb="FF000000"/>
      <name val="Times New Roman"/>
      <family val="1"/>
    </font>
    <font>
      <sz val="11"/>
      <color theme="1"/>
      <name val="Aptos Narrow"/>
      <family val="2"/>
    </font>
    <font>
      <sz val="11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DCDCDC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C0C0C0"/>
      </bottom>
      <diagonal/>
    </border>
    <border>
      <left/>
      <right/>
      <top/>
      <bottom style="thin">
        <color rgb="FFC0C0C0"/>
      </bottom>
      <diagonal/>
    </border>
  </borders>
  <cellStyleXfs count="4">
    <xf numFmtId="0" fontId="0" fillId="0" borderId="0"/>
    <xf numFmtId="0" fontId="4" fillId="2" borderId="0" applyNumberFormat="0" applyBorder="0" applyAlignment="0" applyProtection="0"/>
    <xf numFmtId="0" fontId="5" fillId="3" borderId="0" applyNumberFormat="0" applyBorder="0" applyAlignment="0" applyProtection="0"/>
    <xf numFmtId="0" fontId="6" fillId="0" borderId="0" applyNumberFormat="0" applyFill="0" applyBorder="0" applyAlignment="0" applyProtection="0"/>
  </cellStyleXfs>
  <cellXfs count="3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1" fillId="0" borderId="0" xfId="0" applyFont="1"/>
    <xf numFmtId="22" fontId="0" fillId="0" borderId="0" xfId="0" applyNumberFormat="1"/>
    <xf numFmtId="22" fontId="3" fillId="0" borderId="0" xfId="0" applyNumberFormat="1" applyFont="1"/>
    <xf numFmtId="0" fontId="7" fillId="3" borderId="0" xfId="2" applyFont="1"/>
    <xf numFmtId="0" fontId="7" fillId="3" borderId="0" xfId="2" applyFont="1" applyAlignment="1">
      <alignment vertical="center"/>
    </xf>
    <xf numFmtId="0" fontId="8" fillId="2" borderId="0" xfId="1" applyFont="1" applyAlignment="1">
      <alignment vertical="center"/>
    </xf>
    <xf numFmtId="0" fontId="9" fillId="0" borderId="0" xfId="0" applyFont="1" applyAlignment="1">
      <alignment vertical="center"/>
    </xf>
    <xf numFmtId="0" fontId="4" fillId="2" borderId="0" xfId="1" applyFont="1" applyAlignment="1">
      <alignment vertical="center"/>
    </xf>
    <xf numFmtId="0" fontId="6" fillId="0" borderId="1" xfId="3" applyBorder="1" applyAlignment="1">
      <alignment horizontal="left" vertical="center" wrapText="1"/>
    </xf>
    <xf numFmtId="0" fontId="10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6" fillId="0" borderId="0" xfId="3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22" fontId="3" fillId="0" borderId="1" xfId="0" applyNumberFormat="1" applyFont="1" applyBorder="1" applyAlignment="1">
      <alignment horizontal="left" vertical="center" wrapText="1"/>
    </xf>
    <xf numFmtId="22" fontId="0" fillId="0" borderId="0" xfId="0" applyNumberFormat="1" applyAlignment="1">
      <alignment wrapText="1"/>
    </xf>
    <xf numFmtId="0" fontId="3" fillId="0" borderId="2" xfId="0" applyFont="1" applyBorder="1" applyAlignment="1">
      <alignment horizontal="left" vertical="top" wrapText="1" readingOrder="1"/>
    </xf>
    <xf numFmtId="0" fontId="3" fillId="0" borderId="2" xfId="0" applyFont="1" applyFill="1" applyBorder="1" applyAlignment="1">
      <alignment horizontal="left" vertical="top" wrapText="1" readingOrder="1"/>
    </xf>
    <xf numFmtId="22" fontId="3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22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11" fillId="0" borderId="0" xfId="0" applyFont="1" applyFill="1"/>
    <xf numFmtId="0" fontId="0" fillId="0" borderId="0" xfId="0" applyAlignment="1">
      <alignment wrapText="1"/>
    </xf>
    <xf numFmtId="0" fontId="0" fillId="5" borderId="0" xfId="0" applyFill="1"/>
    <xf numFmtId="14" fontId="0" fillId="0" borderId="0" xfId="0" applyNumberFormat="1"/>
    <xf numFmtId="0" fontId="0" fillId="0" borderId="0" xfId="0" applyFill="1"/>
    <xf numFmtId="22" fontId="0" fillId="0" borderId="0" xfId="0" applyNumberFormat="1" applyFill="1"/>
    <xf numFmtId="0" fontId="0" fillId="0" borderId="0" xfId="0" applyFill="1" applyAlignment="1">
      <alignment wrapText="1"/>
    </xf>
    <xf numFmtId="0" fontId="0" fillId="0" borderId="0" xfId="0" applyFont="1" applyFill="1" applyAlignment="1">
      <alignment wrapText="1"/>
    </xf>
    <xf numFmtId="0" fontId="13" fillId="0" borderId="0" xfId="0" applyFont="1"/>
    <xf numFmtId="0" fontId="14" fillId="0" borderId="0" xfId="0" applyFont="1"/>
    <xf numFmtId="0" fontId="0" fillId="0" borderId="0" xfId="0" applyFont="1"/>
    <xf numFmtId="22" fontId="0" fillId="0" borderId="0" xfId="0" applyNumberFormat="1" applyFont="1"/>
    <xf numFmtId="0" fontId="0" fillId="0" borderId="0" xfId="0" applyFont="1" applyAlignment="1">
      <alignment wrapText="1"/>
    </xf>
  </cellXfs>
  <cellStyles count="4">
    <cellStyle name="Bad" xfId="1" builtinId="27"/>
    <cellStyle name="Hyperlink" xfId="3" builtinId="8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nlitgccmfe9.emea.loreal.intra/ReportServer/Pages/ReportViewer.aspx?%2fConfigMgr_LOR%2fSoftware+Distribution+-+Package+and+Program+Deployment+Status%2fStatus+of+a+specified+package+and+program+deployment&amp;rc%3ashowbackbutton=true" TargetMode="External"/><Relationship Id="rId2" Type="http://schemas.openxmlformats.org/officeDocument/2006/relationships/hyperlink" Target="https://nlitgccmfe9.emea.loreal.intra/ReportServer/Pages/ReportViewer.aspx?%2fConfigMgr_LOR%2fSoftware+Distribution+-+Package+and+Program+Deployment+Status%2fStatus+of+a+specified+package+and+program+deployment&amp;rc%3ashowbackbutton=true" TargetMode="External"/><Relationship Id="rId1" Type="http://schemas.openxmlformats.org/officeDocument/2006/relationships/hyperlink" Target="https://nlitgccmfe9.emea.loreal.intra/ReportServer/Pages/ReportViewer.aspx?%2fConfigMgr_LOR%2fSoftware+Distribution+-+Package+and+Program+Deployment+Status%2fStatus+of+a+specified+package+and+program+deployment&amp;rc%3ashowbackbutton=true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AA0F0-F035-421A-AC85-E52A07C3A5E0}">
  <dimension ref="A1:J265"/>
  <sheetViews>
    <sheetView tabSelected="1" zoomScaleNormal="100" workbookViewId="0">
      <pane ySplit="1" topLeftCell="A127" activePane="bottomLeft" state="frozen"/>
      <selection pane="bottomLeft" activeCell="C211" sqref="C211"/>
    </sheetView>
  </sheetViews>
  <sheetFormatPr defaultRowHeight="15" x14ac:dyDescent="0.25"/>
  <cols>
    <col min="1" max="1" width="24.7109375" customWidth="1"/>
    <col min="2" max="2" width="17.42578125" customWidth="1"/>
    <col min="3" max="3" width="16.140625" customWidth="1"/>
    <col min="4" max="4" width="4.140625" customWidth="1"/>
    <col min="5" max="5" width="15.140625" customWidth="1"/>
    <col min="6" max="6" width="18.28515625" customWidth="1"/>
    <col min="7" max="7" width="23.7109375" customWidth="1"/>
    <col min="8" max="8" width="41.5703125" customWidth="1"/>
    <col min="9" max="9" width="40.42578125" customWidth="1"/>
    <col min="10" max="10" width="21.28515625" customWidth="1"/>
  </cols>
  <sheetData>
    <row r="1" spans="1:10" s="33" customFormat="1" ht="15.75" x14ac:dyDescent="0.25">
      <c r="A1" s="32" t="s">
        <v>0</v>
      </c>
      <c r="B1" s="32" t="s">
        <v>1</v>
      </c>
      <c r="C1" s="32" t="s">
        <v>87</v>
      </c>
      <c r="D1" s="32" t="s">
        <v>2</v>
      </c>
      <c r="E1" s="32" t="s">
        <v>381</v>
      </c>
      <c r="F1" s="32" t="s">
        <v>382</v>
      </c>
      <c r="G1" s="32" t="s">
        <v>383</v>
      </c>
      <c r="H1" s="32" t="s">
        <v>88</v>
      </c>
      <c r="I1" s="32" t="s">
        <v>380</v>
      </c>
      <c r="J1" s="32" t="s">
        <v>94</v>
      </c>
    </row>
    <row r="2" spans="1:10" ht="30" x14ac:dyDescent="0.25">
      <c r="A2" t="s">
        <v>85</v>
      </c>
      <c r="B2" t="s">
        <v>86</v>
      </c>
      <c r="C2" s="4">
        <v>45866.58494212963</v>
      </c>
      <c r="D2" t="s">
        <v>36</v>
      </c>
      <c r="E2">
        <v>12.11</v>
      </c>
      <c r="F2">
        <v>24.25</v>
      </c>
      <c r="G2">
        <f t="shared" ref="G2:G33" si="0">F2-E2</f>
        <v>12.14</v>
      </c>
      <c r="H2" t="s">
        <v>90</v>
      </c>
      <c r="I2" s="25" t="s">
        <v>89</v>
      </c>
      <c r="J2" t="s">
        <v>95</v>
      </c>
    </row>
    <row r="3" spans="1:10" ht="30" x14ac:dyDescent="0.25">
      <c r="A3" t="s">
        <v>104</v>
      </c>
      <c r="B3" t="s">
        <v>105</v>
      </c>
      <c r="C3" s="4">
        <v>45866.585439814815</v>
      </c>
      <c r="D3" t="s">
        <v>36</v>
      </c>
      <c r="E3">
        <v>4.82</v>
      </c>
      <c r="F3">
        <v>12.31</v>
      </c>
      <c r="G3">
        <f t="shared" si="0"/>
        <v>7.49</v>
      </c>
      <c r="H3" t="s">
        <v>102</v>
      </c>
      <c r="I3" s="25" t="s">
        <v>106</v>
      </c>
      <c r="J3" t="s">
        <v>107</v>
      </c>
    </row>
    <row r="4" spans="1:10" ht="30" x14ac:dyDescent="0.25">
      <c r="A4" t="s">
        <v>91</v>
      </c>
      <c r="B4" t="s">
        <v>92</v>
      </c>
      <c r="C4" s="4">
        <v>45866.591099537036</v>
      </c>
      <c r="D4" t="s">
        <v>36</v>
      </c>
      <c r="E4">
        <v>4.8499999999999996</v>
      </c>
      <c r="F4">
        <v>17.13</v>
      </c>
      <c r="G4">
        <f t="shared" si="0"/>
        <v>12.28</v>
      </c>
      <c r="H4" t="s">
        <v>90</v>
      </c>
      <c r="I4" s="25" t="s">
        <v>93</v>
      </c>
      <c r="J4" t="s">
        <v>95</v>
      </c>
    </row>
    <row r="5" spans="1:10" ht="30" x14ac:dyDescent="0.25">
      <c r="A5" t="s">
        <v>96</v>
      </c>
      <c r="B5" t="s">
        <v>97</v>
      </c>
      <c r="C5" s="4">
        <v>45866.602349537039</v>
      </c>
      <c r="D5" t="s">
        <v>36</v>
      </c>
      <c r="E5">
        <v>1.84</v>
      </c>
      <c r="F5">
        <v>3.75</v>
      </c>
      <c r="G5">
        <f t="shared" si="0"/>
        <v>1.91</v>
      </c>
      <c r="H5" t="s">
        <v>102</v>
      </c>
      <c r="I5" s="25" t="s">
        <v>98</v>
      </c>
      <c r="J5" t="s">
        <v>99</v>
      </c>
    </row>
    <row r="6" spans="1:10" ht="30" x14ac:dyDescent="0.25">
      <c r="A6" t="s">
        <v>118</v>
      </c>
      <c r="B6" t="s">
        <v>119</v>
      </c>
      <c r="C6" s="4">
        <v>45866.605763888889</v>
      </c>
      <c r="D6" t="s">
        <v>36</v>
      </c>
      <c r="E6">
        <v>4.28</v>
      </c>
      <c r="F6">
        <v>4.28</v>
      </c>
      <c r="G6">
        <f t="shared" si="0"/>
        <v>0</v>
      </c>
      <c r="H6" t="s">
        <v>121</v>
      </c>
      <c r="I6" s="25" t="s">
        <v>120</v>
      </c>
      <c r="J6" t="s">
        <v>95</v>
      </c>
    </row>
    <row r="7" spans="1:10" ht="30" x14ac:dyDescent="0.25">
      <c r="A7" s="28" t="s">
        <v>126</v>
      </c>
      <c r="B7" s="28" t="s">
        <v>127</v>
      </c>
      <c r="C7" s="29">
        <v>45866.608622685184</v>
      </c>
      <c r="D7" s="28" t="s">
        <v>36</v>
      </c>
      <c r="E7" s="28">
        <v>3.62</v>
      </c>
      <c r="F7" s="28">
        <v>57.19</v>
      </c>
      <c r="G7">
        <f t="shared" si="0"/>
        <v>53.57</v>
      </c>
      <c r="H7" s="28" t="s">
        <v>99</v>
      </c>
      <c r="I7" s="30" t="s">
        <v>128</v>
      </c>
      <c r="J7" s="26" t="s">
        <v>129</v>
      </c>
    </row>
    <row r="8" spans="1:10" ht="30" x14ac:dyDescent="0.25">
      <c r="A8" t="s">
        <v>112</v>
      </c>
      <c r="B8" t="s">
        <v>113</v>
      </c>
      <c r="C8" s="4">
        <v>45866.612002314818</v>
      </c>
      <c r="D8" t="s">
        <v>36</v>
      </c>
      <c r="E8">
        <v>0.04</v>
      </c>
      <c r="F8">
        <v>3.63</v>
      </c>
      <c r="G8">
        <f t="shared" si="0"/>
        <v>3.59</v>
      </c>
      <c r="H8" t="s">
        <v>102</v>
      </c>
      <c r="I8" s="25" t="s">
        <v>114</v>
      </c>
      <c r="J8" t="s">
        <v>95</v>
      </c>
    </row>
    <row r="9" spans="1:10" ht="30" x14ac:dyDescent="0.25">
      <c r="A9" t="s">
        <v>100</v>
      </c>
      <c r="B9" t="s">
        <v>101</v>
      </c>
      <c r="C9" s="4">
        <v>45866.613668981481</v>
      </c>
      <c r="D9" t="s">
        <v>36</v>
      </c>
      <c r="E9">
        <v>15.82</v>
      </c>
      <c r="F9">
        <v>34.729999999999997</v>
      </c>
      <c r="G9">
        <f t="shared" si="0"/>
        <v>18.909999999999997</v>
      </c>
      <c r="H9" t="s">
        <v>102</v>
      </c>
      <c r="I9" s="25" t="s">
        <v>103</v>
      </c>
      <c r="J9" t="s">
        <v>95</v>
      </c>
    </row>
    <row r="10" spans="1:10" ht="30" x14ac:dyDescent="0.25">
      <c r="A10" t="s">
        <v>122</v>
      </c>
      <c r="B10" t="s">
        <v>123</v>
      </c>
      <c r="C10" s="4">
        <v>45866.627638888887</v>
      </c>
      <c r="D10" t="s">
        <v>36</v>
      </c>
      <c r="E10">
        <v>20.66</v>
      </c>
      <c r="F10">
        <v>24.22</v>
      </c>
      <c r="G10">
        <f t="shared" si="0"/>
        <v>3.5599999999999987</v>
      </c>
      <c r="H10" t="s">
        <v>102</v>
      </c>
      <c r="I10" s="25" t="s">
        <v>124</v>
      </c>
      <c r="J10" t="s">
        <v>125</v>
      </c>
    </row>
    <row r="11" spans="1:10" ht="30" x14ac:dyDescent="0.25">
      <c r="A11" t="s">
        <v>108</v>
      </c>
      <c r="B11" t="s">
        <v>109</v>
      </c>
      <c r="C11" s="4">
        <v>45866.635347222225</v>
      </c>
      <c r="D11" t="s">
        <v>36</v>
      </c>
      <c r="E11">
        <v>15.14</v>
      </c>
      <c r="F11">
        <v>15.73</v>
      </c>
      <c r="G11">
        <f t="shared" si="0"/>
        <v>0.58999999999999986</v>
      </c>
      <c r="H11" t="s">
        <v>111</v>
      </c>
      <c r="I11" s="25" t="s">
        <v>110</v>
      </c>
      <c r="J11" t="s">
        <v>95</v>
      </c>
    </row>
    <row r="12" spans="1:10" s="28" customFormat="1" ht="30" x14ac:dyDescent="0.25">
      <c r="A12" t="s">
        <v>116</v>
      </c>
      <c r="B12" t="s">
        <v>117</v>
      </c>
      <c r="C12" s="4">
        <v>45866.643993055557</v>
      </c>
      <c r="D12" t="s">
        <v>36</v>
      </c>
      <c r="E12">
        <v>14.44</v>
      </c>
      <c r="F12">
        <v>41.6</v>
      </c>
      <c r="G12">
        <f t="shared" si="0"/>
        <v>27.160000000000004</v>
      </c>
      <c r="H12" t="s">
        <v>102</v>
      </c>
      <c r="I12" s="25" t="s">
        <v>115</v>
      </c>
      <c r="J12" t="s">
        <v>99</v>
      </c>
    </row>
    <row r="13" spans="1:10" ht="23.1" customHeight="1" x14ac:dyDescent="0.25">
      <c r="A13" s="28" t="s">
        <v>145</v>
      </c>
      <c r="B13" s="28" t="s">
        <v>146</v>
      </c>
      <c r="C13" s="29">
        <v>45868.583807870367</v>
      </c>
      <c r="D13" s="28" t="s">
        <v>36</v>
      </c>
      <c r="E13" s="28">
        <v>3.22</v>
      </c>
      <c r="F13" s="28">
        <v>50.59</v>
      </c>
      <c r="G13">
        <f t="shared" si="0"/>
        <v>47.370000000000005</v>
      </c>
      <c r="H13" s="28" t="s">
        <v>111</v>
      </c>
      <c r="I13" s="31" t="s">
        <v>156</v>
      </c>
      <c r="J13" s="26" t="s">
        <v>129</v>
      </c>
    </row>
    <row r="14" spans="1:10" ht="30" x14ac:dyDescent="0.25">
      <c r="A14" t="s">
        <v>136</v>
      </c>
      <c r="B14" t="s">
        <v>137</v>
      </c>
      <c r="C14" s="4">
        <v>45868.587025462963</v>
      </c>
      <c r="D14" t="s">
        <v>36</v>
      </c>
      <c r="E14">
        <v>12.96</v>
      </c>
      <c r="F14">
        <v>33.93</v>
      </c>
      <c r="G14">
        <f t="shared" si="0"/>
        <v>20.97</v>
      </c>
      <c r="H14" t="s">
        <v>90</v>
      </c>
      <c r="I14" s="25" t="s">
        <v>138</v>
      </c>
      <c r="J14" t="s">
        <v>95</v>
      </c>
    </row>
    <row r="15" spans="1:10" ht="30" x14ac:dyDescent="0.25">
      <c r="A15" t="s">
        <v>130</v>
      </c>
      <c r="B15" t="s">
        <v>131</v>
      </c>
      <c r="C15" s="4">
        <v>45868.587523148148</v>
      </c>
      <c r="D15" t="s">
        <v>36</v>
      </c>
      <c r="E15">
        <v>5.8</v>
      </c>
      <c r="F15">
        <v>47.18</v>
      </c>
      <c r="G15">
        <f t="shared" si="0"/>
        <v>41.38</v>
      </c>
      <c r="H15" t="s">
        <v>90</v>
      </c>
      <c r="I15" s="25" t="s">
        <v>132</v>
      </c>
      <c r="J15" t="s">
        <v>99</v>
      </c>
    </row>
    <row r="16" spans="1:10" ht="30" x14ac:dyDescent="0.25">
      <c r="A16" t="s">
        <v>130</v>
      </c>
      <c r="B16" t="s">
        <v>131</v>
      </c>
      <c r="C16" s="4">
        <v>45868.587523148148</v>
      </c>
      <c r="D16" t="s">
        <v>36</v>
      </c>
      <c r="E16">
        <v>5.8</v>
      </c>
      <c r="F16">
        <v>58.32</v>
      </c>
      <c r="G16">
        <f t="shared" si="0"/>
        <v>52.52</v>
      </c>
      <c r="H16" t="s">
        <v>90</v>
      </c>
      <c r="I16" s="25" t="s">
        <v>132</v>
      </c>
      <c r="J16" t="s">
        <v>95</v>
      </c>
    </row>
    <row r="17" spans="1:10" ht="30" x14ac:dyDescent="0.25">
      <c r="A17" t="s">
        <v>118</v>
      </c>
      <c r="B17" t="s">
        <v>119</v>
      </c>
      <c r="C17" s="4">
        <v>45868.589212962965</v>
      </c>
      <c r="D17" t="s">
        <v>36</v>
      </c>
      <c r="E17">
        <v>0.2</v>
      </c>
      <c r="F17">
        <v>1.97</v>
      </c>
      <c r="G17">
        <f t="shared" si="0"/>
        <v>1.77</v>
      </c>
      <c r="H17" t="s">
        <v>154</v>
      </c>
      <c r="I17" s="25" t="s">
        <v>153</v>
      </c>
      <c r="J17" t="s">
        <v>95</v>
      </c>
    </row>
    <row r="18" spans="1:10" s="28" customFormat="1" ht="30" x14ac:dyDescent="0.25">
      <c r="A18" t="s">
        <v>133</v>
      </c>
      <c r="B18" t="s">
        <v>134</v>
      </c>
      <c r="C18" s="27">
        <v>45868.606689814813</v>
      </c>
      <c r="D18" t="s">
        <v>36</v>
      </c>
      <c r="E18">
        <v>7.28</v>
      </c>
      <c r="F18">
        <v>7.46</v>
      </c>
      <c r="G18">
        <f t="shared" si="0"/>
        <v>0.17999999999999972</v>
      </c>
      <c r="H18" t="s">
        <v>99</v>
      </c>
      <c r="I18" s="25" t="s">
        <v>135</v>
      </c>
      <c r="J18" t="s">
        <v>99</v>
      </c>
    </row>
    <row r="19" spans="1:10" ht="30" x14ac:dyDescent="0.25">
      <c r="A19" t="s">
        <v>133</v>
      </c>
      <c r="B19" t="s">
        <v>134</v>
      </c>
      <c r="C19" s="4">
        <v>45868.606689814813</v>
      </c>
      <c r="D19" t="s">
        <v>36</v>
      </c>
      <c r="E19">
        <v>7.28</v>
      </c>
      <c r="F19">
        <v>7.46</v>
      </c>
      <c r="G19">
        <f t="shared" si="0"/>
        <v>0.17999999999999972</v>
      </c>
      <c r="H19" t="s">
        <v>102</v>
      </c>
      <c r="I19" s="25" t="s">
        <v>155</v>
      </c>
      <c r="J19" t="s">
        <v>99</v>
      </c>
    </row>
    <row r="20" spans="1:10" ht="30" x14ac:dyDescent="0.25">
      <c r="A20" t="s">
        <v>142</v>
      </c>
      <c r="B20" t="s">
        <v>143</v>
      </c>
      <c r="C20" s="4">
        <v>45868.6093287037</v>
      </c>
      <c r="D20" t="s">
        <v>36</v>
      </c>
      <c r="E20">
        <v>6.05</v>
      </c>
      <c r="F20">
        <v>6.47</v>
      </c>
      <c r="G20">
        <f t="shared" si="0"/>
        <v>0.41999999999999993</v>
      </c>
      <c r="H20" t="s">
        <v>99</v>
      </c>
      <c r="I20" s="25" t="s">
        <v>144</v>
      </c>
      <c r="J20" t="s">
        <v>95</v>
      </c>
    </row>
    <row r="21" spans="1:10" ht="30" x14ac:dyDescent="0.25">
      <c r="A21" t="s">
        <v>139</v>
      </c>
      <c r="B21" t="s">
        <v>140</v>
      </c>
      <c r="C21" s="4">
        <v>45868.612361111111</v>
      </c>
      <c r="D21" t="s">
        <v>36</v>
      </c>
      <c r="E21">
        <v>0.32</v>
      </c>
      <c r="F21">
        <v>15.91</v>
      </c>
      <c r="G21">
        <f t="shared" si="0"/>
        <v>15.59</v>
      </c>
      <c r="H21" t="s">
        <v>102</v>
      </c>
      <c r="I21" s="25" t="s">
        <v>141</v>
      </c>
      <c r="J21" t="s">
        <v>95</v>
      </c>
    </row>
    <row r="22" spans="1:10" ht="30" x14ac:dyDescent="0.25">
      <c r="A22" t="s">
        <v>147</v>
      </c>
      <c r="B22" t="s">
        <v>148</v>
      </c>
      <c r="C22" s="4">
        <v>45868.621423611112</v>
      </c>
      <c r="D22" t="s">
        <v>36</v>
      </c>
      <c r="E22">
        <v>6.95</v>
      </c>
      <c r="F22">
        <v>18.309999999999999</v>
      </c>
      <c r="G22">
        <f t="shared" si="0"/>
        <v>11.36</v>
      </c>
      <c r="H22" t="s">
        <v>90</v>
      </c>
      <c r="I22" s="25" t="s">
        <v>149</v>
      </c>
      <c r="J22" t="s">
        <v>95</v>
      </c>
    </row>
    <row r="23" spans="1:10" ht="30" x14ac:dyDescent="0.25">
      <c r="A23" t="s">
        <v>150</v>
      </c>
      <c r="B23" t="s">
        <v>151</v>
      </c>
      <c r="C23" s="4">
        <v>45868.626689814817</v>
      </c>
      <c r="D23" t="s">
        <v>36</v>
      </c>
      <c r="E23">
        <v>10.08</v>
      </c>
      <c r="F23">
        <v>10.06</v>
      </c>
      <c r="G23">
        <f t="shared" si="0"/>
        <v>-1.9999999999999574E-2</v>
      </c>
      <c r="H23" t="s">
        <v>111</v>
      </c>
      <c r="I23" s="25" t="s">
        <v>152</v>
      </c>
      <c r="J23" t="s">
        <v>95</v>
      </c>
    </row>
    <row r="24" spans="1:10" ht="20.100000000000001" customHeight="1" x14ac:dyDescent="0.25">
      <c r="A24" t="s">
        <v>163</v>
      </c>
      <c r="B24" t="s">
        <v>164</v>
      </c>
      <c r="C24" s="4">
        <v>45869.583622685182</v>
      </c>
      <c r="D24" t="s">
        <v>36</v>
      </c>
      <c r="E24">
        <v>7.22</v>
      </c>
      <c r="F24">
        <v>9.31</v>
      </c>
      <c r="G24">
        <f t="shared" si="0"/>
        <v>2.0900000000000007</v>
      </c>
      <c r="H24" t="s">
        <v>111</v>
      </c>
      <c r="I24" s="25" t="s">
        <v>174</v>
      </c>
      <c r="J24" t="s">
        <v>95</v>
      </c>
    </row>
    <row r="25" spans="1:10" ht="30" x14ac:dyDescent="0.25">
      <c r="A25" t="s">
        <v>104</v>
      </c>
      <c r="B25" t="s">
        <v>105</v>
      </c>
      <c r="C25" s="4">
        <v>45869.583726851852</v>
      </c>
      <c r="D25" t="s">
        <v>36</v>
      </c>
      <c r="E25">
        <v>4.66</v>
      </c>
      <c r="F25">
        <v>4.53</v>
      </c>
      <c r="G25">
        <f t="shared" si="0"/>
        <v>-0.12999999999999989</v>
      </c>
      <c r="H25" t="s">
        <v>121</v>
      </c>
      <c r="I25" s="25" t="s">
        <v>161</v>
      </c>
      <c r="J25" t="s">
        <v>95</v>
      </c>
    </row>
    <row r="26" spans="1:10" ht="45" x14ac:dyDescent="0.25">
      <c r="A26" t="s">
        <v>171</v>
      </c>
      <c r="B26" t="s">
        <v>172</v>
      </c>
      <c r="C26" s="4">
        <v>45869.583796296298</v>
      </c>
      <c r="D26" t="s">
        <v>36</v>
      </c>
      <c r="E26">
        <v>1.97</v>
      </c>
      <c r="F26">
        <v>54.01</v>
      </c>
      <c r="G26">
        <f t="shared" si="0"/>
        <v>52.04</v>
      </c>
      <c r="H26" t="s">
        <v>90</v>
      </c>
      <c r="I26" s="25" t="s">
        <v>173</v>
      </c>
      <c r="J26" t="s">
        <v>95</v>
      </c>
    </row>
    <row r="27" spans="1:10" ht="30" x14ac:dyDescent="0.25">
      <c r="A27" t="s">
        <v>118</v>
      </c>
      <c r="B27" t="s">
        <v>119</v>
      </c>
      <c r="C27" s="4">
        <v>45869.583912037036</v>
      </c>
      <c r="D27" t="s">
        <v>36</v>
      </c>
      <c r="E27">
        <v>2.2999999999999998</v>
      </c>
      <c r="F27">
        <v>2.2999999999999998</v>
      </c>
      <c r="G27">
        <f t="shared" si="0"/>
        <v>0</v>
      </c>
      <c r="H27" t="s">
        <v>111</v>
      </c>
      <c r="I27" s="25" t="s">
        <v>162</v>
      </c>
      <c r="J27" t="s">
        <v>95</v>
      </c>
    </row>
    <row r="28" spans="1:10" ht="30" x14ac:dyDescent="0.25">
      <c r="A28" t="s">
        <v>158</v>
      </c>
      <c r="B28" t="s">
        <v>157</v>
      </c>
      <c r="C28" s="4">
        <v>45869.583958333336</v>
      </c>
      <c r="D28" t="s">
        <v>36</v>
      </c>
      <c r="E28">
        <v>0.11</v>
      </c>
      <c r="F28">
        <v>11.96</v>
      </c>
      <c r="G28">
        <f t="shared" si="0"/>
        <v>11.850000000000001</v>
      </c>
      <c r="H28" t="s">
        <v>102</v>
      </c>
      <c r="I28" s="25" t="s">
        <v>159</v>
      </c>
      <c r="J28" t="s">
        <v>99</v>
      </c>
    </row>
    <row r="29" spans="1:10" ht="30" x14ac:dyDescent="0.25">
      <c r="A29" t="s">
        <v>165</v>
      </c>
      <c r="B29" t="s">
        <v>166</v>
      </c>
      <c r="C29" s="4">
        <v>45869.596238425926</v>
      </c>
      <c r="D29" t="s">
        <v>36</v>
      </c>
      <c r="E29">
        <v>16.05</v>
      </c>
      <c r="F29">
        <v>44.6</v>
      </c>
      <c r="G29">
        <f t="shared" si="0"/>
        <v>28.55</v>
      </c>
      <c r="H29" t="s">
        <v>90</v>
      </c>
      <c r="I29" s="25" t="s">
        <v>167</v>
      </c>
      <c r="J29" t="s">
        <v>95</v>
      </c>
    </row>
    <row r="30" spans="1:10" ht="30" x14ac:dyDescent="0.25">
      <c r="A30" t="s">
        <v>168</v>
      </c>
      <c r="B30" t="s">
        <v>169</v>
      </c>
      <c r="C30" s="4">
        <v>45869.600659722222</v>
      </c>
      <c r="D30" t="s">
        <v>36</v>
      </c>
      <c r="E30">
        <v>1.88</v>
      </c>
      <c r="F30">
        <v>7.56</v>
      </c>
      <c r="G30">
        <f t="shared" si="0"/>
        <v>5.68</v>
      </c>
      <c r="H30" t="s">
        <v>102</v>
      </c>
      <c r="I30" s="25" t="s">
        <v>170</v>
      </c>
      <c r="J30" t="s">
        <v>95</v>
      </c>
    </row>
    <row r="31" spans="1:10" ht="30" x14ac:dyDescent="0.25">
      <c r="A31" t="s">
        <v>133</v>
      </c>
      <c r="B31" t="s">
        <v>134</v>
      </c>
      <c r="C31" s="4">
        <v>45869.615370370368</v>
      </c>
      <c r="D31" t="s">
        <v>36</v>
      </c>
      <c r="E31">
        <v>4.2300000000000004</v>
      </c>
      <c r="F31">
        <v>4.2300000000000004</v>
      </c>
      <c r="G31">
        <f t="shared" si="0"/>
        <v>0</v>
      </c>
      <c r="H31" t="s">
        <v>121</v>
      </c>
      <c r="I31" s="25" t="s">
        <v>160</v>
      </c>
      <c r="J31" t="s">
        <v>95</v>
      </c>
    </row>
    <row r="32" spans="1:10" ht="75" x14ac:dyDescent="0.25">
      <c r="A32" t="s">
        <v>175</v>
      </c>
      <c r="B32" t="s">
        <v>176</v>
      </c>
      <c r="C32" s="4">
        <v>45870.583506944444</v>
      </c>
      <c r="D32" t="s">
        <v>36</v>
      </c>
      <c r="E32">
        <v>4.49</v>
      </c>
      <c r="F32">
        <v>6.35</v>
      </c>
      <c r="G32">
        <f t="shared" si="0"/>
        <v>1.8599999999999994</v>
      </c>
      <c r="H32" t="s">
        <v>99</v>
      </c>
      <c r="I32" s="25" t="s">
        <v>177</v>
      </c>
      <c r="J32" t="s">
        <v>95</v>
      </c>
    </row>
    <row r="33" spans="1:10" ht="30" x14ac:dyDescent="0.25">
      <c r="A33" t="s">
        <v>178</v>
      </c>
      <c r="B33" t="s">
        <v>179</v>
      </c>
      <c r="C33" s="4">
        <v>45870.583680555559</v>
      </c>
      <c r="D33" t="s">
        <v>36</v>
      </c>
      <c r="E33">
        <v>13.23</v>
      </c>
      <c r="F33">
        <v>13.25</v>
      </c>
      <c r="G33">
        <f t="shared" si="0"/>
        <v>1.9999999999999574E-2</v>
      </c>
      <c r="H33" t="s">
        <v>99</v>
      </c>
      <c r="I33" s="25" t="s">
        <v>180</v>
      </c>
      <c r="J33" t="s">
        <v>95</v>
      </c>
    </row>
    <row r="34" spans="1:10" s="28" customFormat="1" ht="30" x14ac:dyDescent="0.25">
      <c r="A34" t="s">
        <v>118</v>
      </c>
      <c r="B34" t="s">
        <v>119</v>
      </c>
      <c r="C34" s="4">
        <v>45870.583761574075</v>
      </c>
      <c r="D34" t="s">
        <v>36</v>
      </c>
      <c r="E34">
        <v>2.2200000000000002</v>
      </c>
      <c r="F34">
        <v>2.2200000000000002</v>
      </c>
      <c r="G34">
        <f t="shared" ref="G34:G65" si="1">F34-E34</f>
        <v>0</v>
      </c>
      <c r="H34" t="s">
        <v>111</v>
      </c>
      <c r="I34" s="25" t="s">
        <v>184</v>
      </c>
      <c r="J34" t="s">
        <v>95</v>
      </c>
    </row>
    <row r="35" spans="1:10" ht="30" x14ac:dyDescent="0.25">
      <c r="A35" s="28" t="s">
        <v>181</v>
      </c>
      <c r="B35" s="28" t="s">
        <v>182</v>
      </c>
      <c r="C35" s="29">
        <v>45870.60564814815</v>
      </c>
      <c r="D35" s="28" t="s">
        <v>36</v>
      </c>
      <c r="E35" s="28">
        <v>0.82</v>
      </c>
      <c r="F35" s="28">
        <v>92.62</v>
      </c>
      <c r="G35">
        <f t="shared" si="1"/>
        <v>91.800000000000011</v>
      </c>
      <c r="H35" s="28" t="s">
        <v>111</v>
      </c>
      <c r="I35" s="30" t="s">
        <v>183</v>
      </c>
      <c r="J35" s="26" t="s">
        <v>129</v>
      </c>
    </row>
    <row r="36" spans="1:10" ht="30" x14ac:dyDescent="0.25">
      <c r="A36" t="s">
        <v>171</v>
      </c>
      <c r="B36" t="s">
        <v>172</v>
      </c>
      <c r="C36" s="4">
        <v>45870.823611111111</v>
      </c>
      <c r="D36" t="s">
        <v>36</v>
      </c>
      <c r="E36">
        <v>1.97</v>
      </c>
      <c r="F36">
        <v>54.01</v>
      </c>
      <c r="G36">
        <f t="shared" si="1"/>
        <v>52.04</v>
      </c>
      <c r="H36" t="s">
        <v>102</v>
      </c>
      <c r="I36" s="25" t="s">
        <v>185</v>
      </c>
      <c r="J36" t="s">
        <v>99</v>
      </c>
    </row>
    <row r="37" spans="1:10" ht="30" x14ac:dyDescent="0.25">
      <c r="A37" t="s">
        <v>205</v>
      </c>
      <c r="B37" t="s">
        <v>206</v>
      </c>
      <c r="C37" s="4">
        <v>45873.424710648149</v>
      </c>
      <c r="D37" t="s">
        <v>36</v>
      </c>
      <c r="E37">
        <v>4.99</v>
      </c>
      <c r="F37">
        <v>7.28</v>
      </c>
      <c r="G37">
        <f t="shared" si="1"/>
        <v>2.29</v>
      </c>
      <c r="H37" t="s">
        <v>200</v>
      </c>
      <c r="I37" s="25" t="s">
        <v>207</v>
      </c>
    </row>
    <row r="38" spans="1:10" ht="30" x14ac:dyDescent="0.25">
      <c r="A38" t="s">
        <v>186</v>
      </c>
      <c r="B38" t="s">
        <v>187</v>
      </c>
      <c r="C38" s="4">
        <v>45873.583784722221</v>
      </c>
      <c r="D38" t="s">
        <v>36</v>
      </c>
      <c r="E38">
        <v>6.59</v>
      </c>
      <c r="F38">
        <v>6.59</v>
      </c>
      <c r="G38">
        <f t="shared" si="1"/>
        <v>0</v>
      </c>
      <c r="H38" t="s">
        <v>121</v>
      </c>
      <c r="I38" s="25" t="s">
        <v>188</v>
      </c>
      <c r="J38" t="s">
        <v>95</v>
      </c>
    </row>
    <row r="39" spans="1:10" ht="30" x14ac:dyDescent="0.25">
      <c r="A39" t="s">
        <v>189</v>
      </c>
      <c r="B39" t="s">
        <v>190</v>
      </c>
      <c r="C39" s="4">
        <v>45873.584502314814</v>
      </c>
      <c r="D39" t="s">
        <v>36</v>
      </c>
      <c r="E39">
        <v>1.06</v>
      </c>
      <c r="F39">
        <v>1.07</v>
      </c>
      <c r="G39">
        <f t="shared" si="1"/>
        <v>1.0000000000000009E-2</v>
      </c>
      <c r="H39" t="s">
        <v>121</v>
      </c>
      <c r="I39" s="25" t="s">
        <v>191</v>
      </c>
      <c r="J39" t="s">
        <v>95</v>
      </c>
    </row>
    <row r="40" spans="1:10" ht="30" x14ac:dyDescent="0.25">
      <c r="A40" t="s">
        <v>209</v>
      </c>
      <c r="B40" t="s">
        <v>210</v>
      </c>
      <c r="C40" s="4">
        <v>45873.587893518517</v>
      </c>
      <c r="D40" t="s">
        <v>36</v>
      </c>
      <c r="E40">
        <v>11.99</v>
      </c>
      <c r="F40">
        <v>11.98</v>
      </c>
      <c r="G40">
        <f t="shared" si="1"/>
        <v>-9.9999999999997868E-3</v>
      </c>
      <c r="H40" t="s">
        <v>121</v>
      </c>
      <c r="I40" s="25" t="s">
        <v>211</v>
      </c>
      <c r="J40" t="s">
        <v>95</v>
      </c>
    </row>
    <row r="41" spans="1:10" ht="30" x14ac:dyDescent="0.25">
      <c r="A41" t="s">
        <v>195</v>
      </c>
      <c r="B41" t="s">
        <v>196</v>
      </c>
      <c r="C41" s="4">
        <v>45873.592974537038</v>
      </c>
      <c r="D41" t="s">
        <v>36</v>
      </c>
      <c r="E41">
        <v>19.11</v>
      </c>
      <c r="F41">
        <v>38.47</v>
      </c>
      <c r="G41">
        <f t="shared" si="1"/>
        <v>19.36</v>
      </c>
      <c r="H41" t="s">
        <v>90</v>
      </c>
      <c r="I41" s="25" t="s">
        <v>197</v>
      </c>
      <c r="J41" t="s">
        <v>95</v>
      </c>
    </row>
    <row r="42" spans="1:10" ht="30" x14ac:dyDescent="0.25">
      <c r="A42" t="s">
        <v>192</v>
      </c>
      <c r="B42" t="s">
        <v>193</v>
      </c>
      <c r="C42" s="4">
        <v>45873.59952546296</v>
      </c>
      <c r="D42" t="s">
        <v>36</v>
      </c>
      <c r="E42">
        <v>3.14</v>
      </c>
      <c r="F42">
        <v>0.26</v>
      </c>
      <c r="G42">
        <f t="shared" si="1"/>
        <v>-2.88</v>
      </c>
      <c r="H42" t="s">
        <v>121</v>
      </c>
      <c r="I42" s="25" t="s">
        <v>194</v>
      </c>
      <c r="J42" t="s">
        <v>95</v>
      </c>
    </row>
    <row r="43" spans="1:10" ht="30" x14ac:dyDescent="0.25">
      <c r="A43" t="s">
        <v>202</v>
      </c>
      <c r="B43" t="s">
        <v>203</v>
      </c>
      <c r="C43" s="4">
        <v>45873.619421296295</v>
      </c>
      <c r="D43" t="s">
        <v>36</v>
      </c>
      <c r="E43">
        <v>1.72</v>
      </c>
      <c r="F43">
        <v>2.79</v>
      </c>
      <c r="G43">
        <f t="shared" si="1"/>
        <v>1.07</v>
      </c>
      <c r="H43" t="s">
        <v>102</v>
      </c>
      <c r="I43" s="25" t="s">
        <v>204</v>
      </c>
      <c r="J43" t="s">
        <v>99</v>
      </c>
    </row>
    <row r="44" spans="1:10" ht="30" x14ac:dyDescent="0.25">
      <c r="A44" t="s">
        <v>198</v>
      </c>
      <c r="B44" t="s">
        <v>199</v>
      </c>
      <c r="C44" s="4">
        <v>45873.623333333337</v>
      </c>
      <c r="D44" t="s">
        <v>36</v>
      </c>
      <c r="E44">
        <v>3.7</v>
      </c>
      <c r="F44">
        <v>3.95</v>
      </c>
      <c r="G44">
        <f t="shared" si="1"/>
        <v>0.25</v>
      </c>
      <c r="H44" t="s">
        <v>200</v>
      </c>
      <c r="I44" s="25" t="s">
        <v>201</v>
      </c>
      <c r="J44" t="s">
        <v>99</v>
      </c>
    </row>
    <row r="45" spans="1:10" ht="30" x14ac:dyDescent="0.25">
      <c r="A45" t="s">
        <v>205</v>
      </c>
      <c r="B45" t="s">
        <v>206</v>
      </c>
      <c r="C45" s="4">
        <v>45873.636689814812</v>
      </c>
      <c r="D45" t="s">
        <v>36</v>
      </c>
      <c r="E45">
        <v>4.63</v>
      </c>
      <c r="F45">
        <v>4.67</v>
      </c>
      <c r="G45">
        <f t="shared" si="1"/>
        <v>4.0000000000000036E-2</v>
      </c>
      <c r="H45" t="s">
        <v>99</v>
      </c>
      <c r="I45" s="25" t="s">
        <v>208</v>
      </c>
      <c r="J45" s="26" t="s">
        <v>129</v>
      </c>
    </row>
    <row r="46" spans="1:10" ht="30" x14ac:dyDescent="0.25">
      <c r="A46" t="s">
        <v>213</v>
      </c>
      <c r="B46" t="s">
        <v>212</v>
      </c>
      <c r="C46" s="4">
        <v>45873.642638888887</v>
      </c>
      <c r="D46" t="s">
        <v>36</v>
      </c>
      <c r="E46">
        <v>13.12</v>
      </c>
      <c r="F46">
        <v>37.909999999999997</v>
      </c>
      <c r="G46">
        <f t="shared" si="1"/>
        <v>24.79</v>
      </c>
      <c r="H46" t="s">
        <v>102</v>
      </c>
      <c r="I46" s="25" t="s">
        <v>214</v>
      </c>
      <c r="J46" t="s">
        <v>95</v>
      </c>
    </row>
    <row r="47" spans="1:10" ht="30" x14ac:dyDescent="0.25">
      <c r="A47" t="s">
        <v>215</v>
      </c>
      <c r="B47" t="s">
        <v>216</v>
      </c>
      <c r="C47" s="4">
        <v>45874.583518518521</v>
      </c>
      <c r="D47" t="s">
        <v>36</v>
      </c>
      <c r="E47">
        <v>9.18</v>
      </c>
      <c r="F47">
        <v>9.18</v>
      </c>
      <c r="G47">
        <f t="shared" si="1"/>
        <v>0</v>
      </c>
      <c r="H47" t="s">
        <v>121</v>
      </c>
      <c r="I47" s="25" t="s">
        <v>217</v>
      </c>
      <c r="J47" t="s">
        <v>95</v>
      </c>
    </row>
    <row r="48" spans="1:10" ht="73.5" customHeight="1" x14ac:dyDescent="0.25">
      <c r="A48" t="s">
        <v>218</v>
      </c>
      <c r="B48" t="s">
        <v>219</v>
      </c>
      <c r="C48" s="4">
        <v>45874.583553240744</v>
      </c>
      <c r="D48" t="s">
        <v>36</v>
      </c>
      <c r="E48">
        <v>2.95</v>
      </c>
      <c r="F48">
        <v>2.96</v>
      </c>
      <c r="G48">
        <f t="shared" si="1"/>
        <v>9.9999999999997868E-3</v>
      </c>
      <c r="H48" t="s">
        <v>121</v>
      </c>
      <c r="I48" s="25" t="s">
        <v>220</v>
      </c>
      <c r="J48" t="s">
        <v>95</v>
      </c>
    </row>
    <row r="49" spans="1:10" ht="30" x14ac:dyDescent="0.25">
      <c r="A49" t="s">
        <v>240</v>
      </c>
      <c r="B49" t="s">
        <v>241</v>
      </c>
      <c r="C49" s="4">
        <v>45874.58357638889</v>
      </c>
      <c r="D49" t="s">
        <v>36</v>
      </c>
      <c r="E49">
        <v>3.48</v>
      </c>
      <c r="F49">
        <v>3.47</v>
      </c>
      <c r="G49">
        <f t="shared" si="1"/>
        <v>-9.9999999999997868E-3</v>
      </c>
      <c r="H49" t="s">
        <v>121</v>
      </c>
      <c r="I49" s="25" t="s">
        <v>242</v>
      </c>
      <c r="J49" t="s">
        <v>95</v>
      </c>
    </row>
    <row r="50" spans="1:10" ht="30" x14ac:dyDescent="0.25">
      <c r="A50" t="s">
        <v>209</v>
      </c>
      <c r="B50" t="s">
        <v>210</v>
      </c>
      <c r="C50" s="4">
        <v>45874.583657407406</v>
      </c>
      <c r="D50" t="s">
        <v>36</v>
      </c>
      <c r="E50">
        <v>8.65</v>
      </c>
      <c r="F50">
        <v>8.65</v>
      </c>
      <c r="G50">
        <f t="shared" si="1"/>
        <v>0</v>
      </c>
      <c r="H50" t="s">
        <v>121</v>
      </c>
      <c r="I50" s="25" t="s">
        <v>211</v>
      </c>
      <c r="J50" t="s">
        <v>95</v>
      </c>
    </row>
    <row r="51" spans="1:10" ht="30" x14ac:dyDescent="0.25">
      <c r="A51" t="s">
        <v>237</v>
      </c>
      <c r="B51" t="s">
        <v>238</v>
      </c>
      <c r="C51" s="4">
        <v>45874.583749999998</v>
      </c>
      <c r="D51" t="s">
        <v>36</v>
      </c>
      <c r="E51">
        <v>0.43</v>
      </c>
      <c r="F51">
        <v>40.82</v>
      </c>
      <c r="G51">
        <f t="shared" si="1"/>
        <v>40.39</v>
      </c>
      <c r="H51" t="s">
        <v>90</v>
      </c>
      <c r="I51" s="25" t="s">
        <v>239</v>
      </c>
      <c r="J51" t="s">
        <v>95</v>
      </c>
    </row>
    <row r="52" spans="1:10" ht="30" x14ac:dyDescent="0.25">
      <c r="A52" t="s">
        <v>224</v>
      </c>
      <c r="B52" t="s">
        <v>225</v>
      </c>
      <c r="C52" s="4">
        <v>45874.583981481483</v>
      </c>
      <c r="D52" t="s">
        <v>36</v>
      </c>
      <c r="E52">
        <v>7.69</v>
      </c>
      <c r="F52">
        <v>39.19</v>
      </c>
      <c r="G52">
        <f t="shared" si="1"/>
        <v>31.499999999999996</v>
      </c>
      <c r="H52" t="s">
        <v>102</v>
      </c>
      <c r="I52" s="25" t="s">
        <v>226</v>
      </c>
      <c r="J52" t="s">
        <v>99</v>
      </c>
    </row>
    <row r="53" spans="1:10" ht="30" x14ac:dyDescent="0.25">
      <c r="A53" t="s">
        <v>221</v>
      </c>
      <c r="B53" t="s">
        <v>222</v>
      </c>
      <c r="C53" s="4">
        <v>45874.584224537037</v>
      </c>
      <c r="D53" t="s">
        <v>36</v>
      </c>
      <c r="E53">
        <v>3.6</v>
      </c>
      <c r="F53">
        <v>66.260000000000005</v>
      </c>
      <c r="G53">
        <f t="shared" si="1"/>
        <v>62.660000000000004</v>
      </c>
      <c r="H53" t="s">
        <v>90</v>
      </c>
      <c r="I53" s="25" t="s">
        <v>223</v>
      </c>
      <c r="J53" s="26" t="s">
        <v>129</v>
      </c>
    </row>
    <row r="54" spans="1:10" ht="30" x14ac:dyDescent="0.25">
      <c r="A54" t="s">
        <v>231</v>
      </c>
      <c r="B54" t="s">
        <v>232</v>
      </c>
      <c r="C54" s="4">
        <v>45874.600868055553</v>
      </c>
      <c r="D54" t="s">
        <v>36</v>
      </c>
      <c r="E54">
        <v>2.96</v>
      </c>
      <c r="F54">
        <v>45.45</v>
      </c>
      <c r="G54">
        <f t="shared" si="1"/>
        <v>42.49</v>
      </c>
      <c r="H54" t="s">
        <v>200</v>
      </c>
      <c r="I54" s="25" t="s">
        <v>233</v>
      </c>
      <c r="J54" t="s">
        <v>99</v>
      </c>
    </row>
    <row r="55" spans="1:10" ht="30" x14ac:dyDescent="0.25">
      <c r="A55" t="s">
        <v>202</v>
      </c>
      <c r="B55" t="s">
        <v>203</v>
      </c>
      <c r="C55" s="4">
        <v>45874.601620370369</v>
      </c>
      <c r="D55" t="s">
        <v>36</v>
      </c>
      <c r="E55">
        <v>2.83</v>
      </c>
      <c r="F55">
        <v>2.82</v>
      </c>
      <c r="G55">
        <f t="shared" si="1"/>
        <v>-1.0000000000000231E-2</v>
      </c>
      <c r="H55" t="s">
        <v>99</v>
      </c>
      <c r="I55" s="25" t="s">
        <v>227</v>
      </c>
      <c r="J55" t="s">
        <v>95</v>
      </c>
    </row>
    <row r="56" spans="1:10" ht="30" x14ac:dyDescent="0.25">
      <c r="A56" t="s">
        <v>229</v>
      </c>
      <c r="B56" t="s">
        <v>228</v>
      </c>
      <c r="C56" s="4">
        <v>45874.602199074077</v>
      </c>
      <c r="D56" t="s">
        <v>36</v>
      </c>
      <c r="E56">
        <v>2.83</v>
      </c>
      <c r="F56">
        <v>2.83</v>
      </c>
      <c r="G56">
        <f t="shared" si="1"/>
        <v>0</v>
      </c>
      <c r="H56" t="s">
        <v>121</v>
      </c>
      <c r="I56" s="25" t="s">
        <v>230</v>
      </c>
      <c r="J56" t="s">
        <v>95</v>
      </c>
    </row>
    <row r="57" spans="1:10" ht="30" x14ac:dyDescent="0.25">
      <c r="A57" t="s">
        <v>234</v>
      </c>
      <c r="B57" t="s">
        <v>235</v>
      </c>
      <c r="C57" s="4">
        <v>45874.63113425926</v>
      </c>
      <c r="D57" t="s">
        <v>36</v>
      </c>
      <c r="E57">
        <v>17.489999999999998</v>
      </c>
      <c r="F57">
        <v>109.08</v>
      </c>
      <c r="G57">
        <f t="shared" si="1"/>
        <v>91.59</v>
      </c>
      <c r="H57" t="s">
        <v>90</v>
      </c>
      <c r="I57" s="25" t="s">
        <v>236</v>
      </c>
      <c r="J57" s="26" t="s">
        <v>129</v>
      </c>
    </row>
    <row r="58" spans="1:10" ht="22.5" customHeight="1" x14ac:dyDescent="0.25">
      <c r="A58" t="s">
        <v>240</v>
      </c>
      <c r="B58" t="s">
        <v>241</v>
      </c>
      <c r="C58" s="4">
        <v>45875.583981481483</v>
      </c>
      <c r="D58" t="s">
        <v>36</v>
      </c>
      <c r="E58">
        <v>0.21</v>
      </c>
      <c r="F58">
        <v>44.25</v>
      </c>
      <c r="G58">
        <f t="shared" si="1"/>
        <v>44.04</v>
      </c>
      <c r="H58" t="s">
        <v>102</v>
      </c>
      <c r="I58" s="25" t="s">
        <v>259</v>
      </c>
      <c r="J58" t="s">
        <v>99</v>
      </c>
    </row>
    <row r="59" spans="1:10" ht="30" x14ac:dyDescent="0.25">
      <c r="A59" t="s">
        <v>256</v>
      </c>
      <c r="B59" t="s">
        <v>257</v>
      </c>
      <c r="C59" s="4">
        <v>45875.585057870368</v>
      </c>
      <c r="D59" t="s">
        <v>36</v>
      </c>
      <c r="E59">
        <v>1.28</v>
      </c>
      <c r="F59">
        <v>75.06</v>
      </c>
      <c r="G59">
        <f t="shared" si="1"/>
        <v>73.78</v>
      </c>
      <c r="H59" t="s">
        <v>102</v>
      </c>
      <c r="I59" s="25" t="s">
        <v>258</v>
      </c>
      <c r="J59" t="s">
        <v>95</v>
      </c>
    </row>
    <row r="60" spans="1:10" ht="30" x14ac:dyDescent="0.25">
      <c r="A60" t="s">
        <v>246</v>
      </c>
      <c r="B60" t="s">
        <v>247</v>
      </c>
      <c r="C60" s="4">
        <v>45875.59302083333</v>
      </c>
      <c r="D60" t="s">
        <v>36</v>
      </c>
      <c r="E60">
        <v>8.44</v>
      </c>
      <c r="F60">
        <v>9.0299999999999994</v>
      </c>
      <c r="G60">
        <f t="shared" si="1"/>
        <v>0.58999999999999986</v>
      </c>
      <c r="H60" t="s">
        <v>99</v>
      </c>
      <c r="I60" s="25" t="s">
        <v>248</v>
      </c>
      <c r="J60" t="s">
        <v>95</v>
      </c>
    </row>
    <row r="61" spans="1:10" x14ac:dyDescent="0.25">
      <c r="A61" t="s">
        <v>243</v>
      </c>
      <c r="B61" t="s">
        <v>244</v>
      </c>
      <c r="C61" s="4">
        <v>45875.593344907407</v>
      </c>
      <c r="D61" t="s">
        <v>36</v>
      </c>
      <c r="E61">
        <v>0.03</v>
      </c>
      <c r="F61">
        <v>0.03</v>
      </c>
      <c r="G61">
        <f t="shared" si="1"/>
        <v>0</v>
      </c>
      <c r="H61" t="s">
        <v>121</v>
      </c>
      <c r="I61" s="25" t="s">
        <v>245</v>
      </c>
      <c r="J61" t="s">
        <v>95</v>
      </c>
    </row>
    <row r="62" spans="1:10" ht="30" x14ac:dyDescent="0.25">
      <c r="A62" t="s">
        <v>66</v>
      </c>
      <c r="B62" t="s">
        <v>249</v>
      </c>
      <c r="C62" s="4">
        <v>45875.607870370368</v>
      </c>
      <c r="D62" t="s">
        <v>36</v>
      </c>
      <c r="E62">
        <v>2.61</v>
      </c>
      <c r="F62">
        <v>2.61</v>
      </c>
      <c r="G62">
        <f t="shared" si="1"/>
        <v>0</v>
      </c>
      <c r="H62" t="s">
        <v>121</v>
      </c>
      <c r="I62" s="25" t="s">
        <v>250</v>
      </c>
      <c r="J62" t="s">
        <v>95</v>
      </c>
    </row>
    <row r="63" spans="1:10" ht="30" x14ac:dyDescent="0.25">
      <c r="A63" t="s">
        <v>158</v>
      </c>
      <c r="B63" t="s">
        <v>157</v>
      </c>
      <c r="C63" s="4">
        <v>45875.615486111114</v>
      </c>
      <c r="D63" t="s">
        <v>36</v>
      </c>
      <c r="E63">
        <v>5.82</v>
      </c>
      <c r="F63">
        <v>63.75</v>
      </c>
      <c r="G63">
        <f t="shared" si="1"/>
        <v>57.93</v>
      </c>
      <c r="H63" t="s">
        <v>90</v>
      </c>
      <c r="I63" s="25" t="s">
        <v>251</v>
      </c>
      <c r="J63" t="s">
        <v>95</v>
      </c>
    </row>
    <row r="64" spans="1:10" ht="30" x14ac:dyDescent="0.25">
      <c r="A64" t="s">
        <v>252</v>
      </c>
      <c r="B64" t="s">
        <v>253</v>
      </c>
      <c r="C64" s="4">
        <v>45875.629120370373</v>
      </c>
      <c r="D64" t="s">
        <v>36</v>
      </c>
      <c r="E64">
        <v>7.3</v>
      </c>
      <c r="F64">
        <v>14.86</v>
      </c>
      <c r="G64">
        <f t="shared" si="1"/>
        <v>7.56</v>
      </c>
      <c r="H64" t="s">
        <v>255</v>
      </c>
      <c r="I64" s="25" t="s">
        <v>254</v>
      </c>
      <c r="J64" t="s">
        <v>95</v>
      </c>
    </row>
    <row r="65" spans="1:10" ht="30" x14ac:dyDescent="0.25">
      <c r="A65" t="s">
        <v>252</v>
      </c>
      <c r="B65" t="s">
        <v>253</v>
      </c>
      <c r="C65" s="4">
        <v>45876.583611111113</v>
      </c>
      <c r="D65" t="s">
        <v>36</v>
      </c>
      <c r="E65">
        <v>2.35</v>
      </c>
      <c r="F65">
        <v>6.38</v>
      </c>
      <c r="G65">
        <f t="shared" si="1"/>
        <v>4.0299999999999994</v>
      </c>
      <c r="H65" t="s">
        <v>102</v>
      </c>
      <c r="I65" s="25" t="s">
        <v>267</v>
      </c>
      <c r="J65" t="s">
        <v>95</v>
      </c>
    </row>
    <row r="66" spans="1:10" ht="30" x14ac:dyDescent="0.25">
      <c r="A66" t="s">
        <v>260</v>
      </c>
      <c r="B66" t="s">
        <v>261</v>
      </c>
      <c r="C66" s="4">
        <v>45876.584629629629</v>
      </c>
      <c r="D66" t="s">
        <v>36</v>
      </c>
      <c r="E66">
        <v>3.32</v>
      </c>
      <c r="F66">
        <v>4.5199999999999996</v>
      </c>
      <c r="G66">
        <f t="shared" ref="G66:G97" si="2">F66-E66</f>
        <v>1.1999999999999997</v>
      </c>
      <c r="H66" t="s">
        <v>263</v>
      </c>
      <c r="I66" s="25" t="s">
        <v>262</v>
      </c>
      <c r="J66" t="s">
        <v>95</v>
      </c>
    </row>
    <row r="67" spans="1:10" ht="30" x14ac:dyDescent="0.25">
      <c r="A67" t="s">
        <v>264</v>
      </c>
      <c r="B67" t="s">
        <v>265</v>
      </c>
      <c r="C67" s="4">
        <v>45876.587013888886</v>
      </c>
      <c r="D67" t="s">
        <v>36</v>
      </c>
      <c r="E67">
        <v>12.84</v>
      </c>
      <c r="F67">
        <v>48.87</v>
      </c>
      <c r="G67">
        <f t="shared" si="2"/>
        <v>36.03</v>
      </c>
      <c r="H67" t="s">
        <v>102</v>
      </c>
      <c r="I67" s="25" t="s">
        <v>266</v>
      </c>
      <c r="J67" t="s">
        <v>95</v>
      </c>
    </row>
    <row r="68" spans="1:10" ht="30" x14ac:dyDescent="0.25">
      <c r="A68" t="s">
        <v>229</v>
      </c>
      <c r="B68" t="s">
        <v>228</v>
      </c>
      <c r="C68" s="4">
        <v>45877.546527777777</v>
      </c>
      <c r="D68" t="s">
        <v>36</v>
      </c>
      <c r="E68">
        <v>2.83</v>
      </c>
      <c r="F68">
        <v>48.21</v>
      </c>
      <c r="G68">
        <f t="shared" si="2"/>
        <v>45.38</v>
      </c>
      <c r="H68" t="s">
        <v>255</v>
      </c>
      <c r="I68" s="25" t="s">
        <v>230</v>
      </c>
      <c r="J68" t="s">
        <v>95</v>
      </c>
    </row>
    <row r="69" spans="1:10" ht="30" x14ac:dyDescent="0.25">
      <c r="A69" t="s">
        <v>270</v>
      </c>
      <c r="B69" t="s">
        <v>271</v>
      </c>
      <c r="C69" s="4">
        <v>45877.584016203706</v>
      </c>
      <c r="D69" t="s">
        <v>36</v>
      </c>
      <c r="E69">
        <v>7.31</v>
      </c>
      <c r="F69">
        <v>25.59</v>
      </c>
      <c r="G69">
        <f t="shared" si="2"/>
        <v>18.28</v>
      </c>
      <c r="H69" t="s">
        <v>90</v>
      </c>
      <c r="I69" s="25" t="s">
        <v>272</v>
      </c>
      <c r="J69" t="s">
        <v>99</v>
      </c>
    </row>
    <row r="70" spans="1:10" ht="30" x14ac:dyDescent="0.25">
      <c r="A70" t="s">
        <v>198</v>
      </c>
      <c r="B70" t="s">
        <v>199</v>
      </c>
      <c r="C70" s="4">
        <v>45877.586736111109</v>
      </c>
      <c r="D70" t="s">
        <v>36</v>
      </c>
      <c r="E70">
        <v>5.56</v>
      </c>
      <c r="F70">
        <v>5.41</v>
      </c>
      <c r="G70">
        <f t="shared" si="2"/>
        <v>-0.14999999999999947</v>
      </c>
      <c r="H70" t="s">
        <v>99</v>
      </c>
      <c r="I70" s="25" t="s">
        <v>268</v>
      </c>
      <c r="J70" t="s">
        <v>95</v>
      </c>
    </row>
    <row r="71" spans="1:10" ht="30" x14ac:dyDescent="0.25">
      <c r="A71" t="s">
        <v>192</v>
      </c>
      <c r="B71" t="s">
        <v>193</v>
      </c>
      <c r="C71" s="4">
        <v>45877.588449074072</v>
      </c>
      <c r="D71" t="s">
        <v>36</v>
      </c>
      <c r="E71">
        <v>13.5</v>
      </c>
      <c r="F71">
        <v>26.78</v>
      </c>
      <c r="G71">
        <f t="shared" si="2"/>
        <v>13.280000000000001</v>
      </c>
      <c r="H71" t="s">
        <v>90</v>
      </c>
      <c r="I71" s="25" t="s">
        <v>269</v>
      </c>
      <c r="J71" t="s">
        <v>95</v>
      </c>
    </row>
    <row r="72" spans="1:10" ht="30" x14ac:dyDescent="0.25">
      <c r="A72" t="s">
        <v>273</v>
      </c>
      <c r="B72" t="s">
        <v>274</v>
      </c>
      <c r="C72" s="4">
        <v>45879.537395833337</v>
      </c>
      <c r="D72" t="s">
        <v>36</v>
      </c>
      <c r="E72">
        <v>0.01</v>
      </c>
      <c r="F72">
        <v>27.9</v>
      </c>
      <c r="G72">
        <f t="shared" si="2"/>
        <v>27.889999999999997</v>
      </c>
      <c r="H72" t="s">
        <v>90</v>
      </c>
      <c r="I72" s="25" t="s">
        <v>275</v>
      </c>
      <c r="J72" t="s">
        <v>99</v>
      </c>
    </row>
    <row r="73" spans="1:10" ht="30" x14ac:dyDescent="0.25">
      <c r="A73" t="s">
        <v>279</v>
      </c>
      <c r="B73" t="s">
        <v>280</v>
      </c>
      <c r="C73" s="4">
        <v>45880.411111111112</v>
      </c>
      <c r="D73" t="s">
        <v>36</v>
      </c>
      <c r="E73">
        <v>3.13</v>
      </c>
      <c r="F73">
        <v>30.35</v>
      </c>
      <c r="G73">
        <f t="shared" si="2"/>
        <v>27.220000000000002</v>
      </c>
      <c r="H73" t="s">
        <v>90</v>
      </c>
      <c r="I73" s="25" t="s">
        <v>281</v>
      </c>
      <c r="J73" t="s">
        <v>95</v>
      </c>
    </row>
    <row r="74" spans="1:10" ht="30" x14ac:dyDescent="0.25">
      <c r="A74" t="s">
        <v>252</v>
      </c>
      <c r="B74" t="s">
        <v>253</v>
      </c>
      <c r="C74" s="4">
        <v>45880.583495370367</v>
      </c>
      <c r="E74">
        <v>4.2</v>
      </c>
      <c r="F74">
        <v>8.16</v>
      </c>
      <c r="G74">
        <f t="shared" si="2"/>
        <v>3.96</v>
      </c>
      <c r="H74" t="s">
        <v>102</v>
      </c>
      <c r="I74" s="25" t="s">
        <v>301</v>
      </c>
      <c r="J74" t="s">
        <v>95</v>
      </c>
    </row>
    <row r="75" spans="1:10" ht="30" x14ac:dyDescent="0.25">
      <c r="A75" t="s">
        <v>276</v>
      </c>
      <c r="B75" t="s">
        <v>277</v>
      </c>
      <c r="C75" s="4">
        <v>45880.583518518521</v>
      </c>
      <c r="D75" t="s">
        <v>36</v>
      </c>
      <c r="E75">
        <v>0.12</v>
      </c>
      <c r="F75">
        <v>0.12</v>
      </c>
      <c r="G75">
        <f t="shared" si="2"/>
        <v>0</v>
      </c>
      <c r="H75" t="s">
        <v>99</v>
      </c>
      <c r="I75" s="25" t="s">
        <v>278</v>
      </c>
      <c r="J75" t="s">
        <v>99</v>
      </c>
    </row>
    <row r="76" spans="1:10" ht="30" x14ac:dyDescent="0.25">
      <c r="A76" t="s">
        <v>305</v>
      </c>
      <c r="B76" t="s">
        <v>306</v>
      </c>
      <c r="C76" s="4">
        <v>45880.58353009259</v>
      </c>
      <c r="E76">
        <v>1.68</v>
      </c>
      <c r="F76">
        <v>0.61</v>
      </c>
      <c r="G76">
        <f t="shared" si="2"/>
        <v>-1.0699999999999998</v>
      </c>
      <c r="H76" t="s">
        <v>121</v>
      </c>
      <c r="I76" s="25" t="s">
        <v>307</v>
      </c>
      <c r="J76" t="s">
        <v>95</v>
      </c>
    </row>
    <row r="77" spans="1:10" ht="30" x14ac:dyDescent="0.25">
      <c r="A77" t="s">
        <v>209</v>
      </c>
      <c r="B77" t="s">
        <v>210</v>
      </c>
      <c r="C77" s="4">
        <v>45880.583611111113</v>
      </c>
      <c r="E77">
        <v>4.7300000000000004</v>
      </c>
      <c r="F77">
        <v>4.7300000000000004</v>
      </c>
      <c r="G77">
        <f t="shared" si="2"/>
        <v>0</v>
      </c>
      <c r="H77" t="s">
        <v>121</v>
      </c>
      <c r="I77" s="25" t="s">
        <v>300</v>
      </c>
      <c r="J77" t="s">
        <v>95</v>
      </c>
    </row>
    <row r="78" spans="1:10" ht="30" x14ac:dyDescent="0.25">
      <c r="A78" t="s">
        <v>286</v>
      </c>
      <c r="B78" t="s">
        <v>287</v>
      </c>
      <c r="C78" s="4">
        <v>45880.583831018521</v>
      </c>
      <c r="D78" t="s">
        <v>36</v>
      </c>
      <c r="E78">
        <v>0.51</v>
      </c>
      <c r="F78">
        <v>20.29</v>
      </c>
      <c r="G78">
        <f t="shared" si="2"/>
        <v>19.779999999999998</v>
      </c>
      <c r="H78" t="s">
        <v>90</v>
      </c>
      <c r="I78" s="25" t="s">
        <v>288</v>
      </c>
      <c r="J78" s="26" t="s">
        <v>129</v>
      </c>
    </row>
    <row r="79" spans="1:10" ht="30" x14ac:dyDescent="0.25">
      <c r="A79" t="s">
        <v>308</v>
      </c>
      <c r="B79" t="s">
        <v>309</v>
      </c>
      <c r="C79" s="4">
        <v>45880.583854166667</v>
      </c>
      <c r="E79">
        <v>4.05</v>
      </c>
      <c r="F79">
        <v>6.17</v>
      </c>
      <c r="G79">
        <f t="shared" si="2"/>
        <v>2.12</v>
      </c>
      <c r="H79" t="s">
        <v>121</v>
      </c>
      <c r="I79" s="25" t="s">
        <v>310</v>
      </c>
      <c r="J79" t="s">
        <v>95</v>
      </c>
    </row>
    <row r="80" spans="1:10" ht="30" x14ac:dyDescent="0.25">
      <c r="A80" t="s">
        <v>104</v>
      </c>
      <c r="B80" t="s">
        <v>105</v>
      </c>
      <c r="C80" s="4">
        <v>45880.584305555552</v>
      </c>
      <c r="E80">
        <v>2.06</v>
      </c>
      <c r="F80">
        <v>2.09</v>
      </c>
      <c r="G80">
        <f t="shared" si="2"/>
        <v>2.9999999999999805E-2</v>
      </c>
      <c r="H80" t="s">
        <v>121</v>
      </c>
      <c r="I80" s="25" t="s">
        <v>299</v>
      </c>
      <c r="J80" t="s">
        <v>95</v>
      </c>
    </row>
    <row r="81" spans="1:10" ht="30" x14ac:dyDescent="0.25">
      <c r="A81" t="s">
        <v>260</v>
      </c>
      <c r="B81" t="s">
        <v>261</v>
      </c>
      <c r="C81" s="4">
        <v>45880.585474537038</v>
      </c>
      <c r="D81" t="s">
        <v>36</v>
      </c>
      <c r="E81">
        <v>2.38</v>
      </c>
      <c r="F81">
        <v>2.71</v>
      </c>
      <c r="G81">
        <f t="shared" si="2"/>
        <v>0.33000000000000007</v>
      </c>
      <c r="H81" t="s">
        <v>102</v>
      </c>
      <c r="I81" s="25" t="s">
        <v>285</v>
      </c>
      <c r="J81" t="s">
        <v>95</v>
      </c>
    </row>
    <row r="82" spans="1:10" ht="30" x14ac:dyDescent="0.25">
      <c r="A82" t="s">
        <v>282</v>
      </c>
      <c r="B82" t="s">
        <v>283</v>
      </c>
      <c r="C82" s="4">
        <v>45880.585590277777</v>
      </c>
      <c r="D82" t="s">
        <v>36</v>
      </c>
      <c r="E82">
        <v>7.74</v>
      </c>
      <c r="F82">
        <v>19.05</v>
      </c>
      <c r="G82">
        <f t="shared" si="2"/>
        <v>11.31</v>
      </c>
      <c r="H82" t="s">
        <v>102</v>
      </c>
      <c r="I82" s="25" t="s">
        <v>284</v>
      </c>
      <c r="J82" t="s">
        <v>95</v>
      </c>
    </row>
    <row r="83" spans="1:10" ht="30" x14ac:dyDescent="0.25">
      <c r="A83" t="s">
        <v>302</v>
      </c>
      <c r="B83" t="s">
        <v>303</v>
      </c>
      <c r="C83" s="4">
        <v>45880.592581018522</v>
      </c>
      <c r="E83">
        <v>7.41</v>
      </c>
      <c r="F83">
        <v>100.58</v>
      </c>
      <c r="G83">
        <f t="shared" si="2"/>
        <v>93.17</v>
      </c>
      <c r="H83" t="s">
        <v>102</v>
      </c>
      <c r="I83" s="25" t="s">
        <v>304</v>
      </c>
      <c r="J83" s="26" t="s">
        <v>129</v>
      </c>
    </row>
    <row r="84" spans="1:10" ht="30" x14ac:dyDescent="0.25">
      <c r="A84" t="s">
        <v>289</v>
      </c>
      <c r="B84" t="s">
        <v>290</v>
      </c>
      <c r="C84" s="4">
        <v>45880.593541666669</v>
      </c>
      <c r="D84" t="s">
        <v>36</v>
      </c>
      <c r="E84">
        <v>4.1100000000000003</v>
      </c>
      <c r="F84">
        <v>21.92</v>
      </c>
      <c r="G84">
        <f t="shared" si="2"/>
        <v>17.810000000000002</v>
      </c>
      <c r="H84" t="s">
        <v>200</v>
      </c>
      <c r="I84" s="25" t="s">
        <v>291</v>
      </c>
      <c r="J84" t="s">
        <v>99</v>
      </c>
    </row>
    <row r="85" spans="1:10" ht="30" x14ac:dyDescent="0.25">
      <c r="A85" t="s">
        <v>295</v>
      </c>
      <c r="B85" t="s">
        <v>296</v>
      </c>
      <c r="C85" s="4">
        <v>45880.600011574075</v>
      </c>
      <c r="D85" t="s">
        <v>36</v>
      </c>
      <c r="E85">
        <v>5.0599999999999996</v>
      </c>
      <c r="F85">
        <v>40.409999999999997</v>
      </c>
      <c r="G85">
        <f t="shared" si="2"/>
        <v>35.349999999999994</v>
      </c>
      <c r="H85" t="s">
        <v>102</v>
      </c>
      <c r="I85" s="25" t="s">
        <v>297</v>
      </c>
      <c r="J85" t="s">
        <v>99</v>
      </c>
    </row>
    <row r="86" spans="1:10" ht="30" x14ac:dyDescent="0.25">
      <c r="A86" t="s">
        <v>292</v>
      </c>
      <c r="B86" t="s">
        <v>293</v>
      </c>
      <c r="C86" s="4">
        <v>45880.605231481481</v>
      </c>
      <c r="D86" t="s">
        <v>36</v>
      </c>
      <c r="E86">
        <v>6.68</v>
      </c>
      <c r="F86">
        <v>6.69</v>
      </c>
      <c r="G86">
        <f t="shared" si="2"/>
        <v>1.0000000000000675E-2</v>
      </c>
      <c r="H86" t="s">
        <v>99</v>
      </c>
      <c r="I86" s="25" t="s">
        <v>294</v>
      </c>
      <c r="J86" t="s">
        <v>99</v>
      </c>
    </row>
    <row r="87" spans="1:10" ht="30" x14ac:dyDescent="0.25">
      <c r="A87" t="s">
        <v>198</v>
      </c>
      <c r="B87" t="s">
        <v>199</v>
      </c>
      <c r="C87" s="4">
        <v>45880.625081018516</v>
      </c>
      <c r="E87">
        <v>0</v>
      </c>
      <c r="F87">
        <v>0</v>
      </c>
      <c r="G87">
        <f t="shared" si="2"/>
        <v>0</v>
      </c>
      <c r="H87" t="s">
        <v>121</v>
      </c>
      <c r="I87" s="25" t="s">
        <v>298</v>
      </c>
      <c r="J87" t="s">
        <v>95</v>
      </c>
    </row>
    <row r="88" spans="1:10" ht="30" x14ac:dyDescent="0.25">
      <c r="A88" t="s">
        <v>312</v>
      </c>
      <c r="B88" t="s">
        <v>313</v>
      </c>
      <c r="C88" s="4">
        <v>45881.584097222221</v>
      </c>
      <c r="E88">
        <v>1.03</v>
      </c>
      <c r="F88">
        <v>14.86</v>
      </c>
      <c r="G88">
        <f t="shared" si="2"/>
        <v>13.83</v>
      </c>
      <c r="H88" t="s">
        <v>102</v>
      </c>
      <c r="I88" s="25" t="s">
        <v>314</v>
      </c>
      <c r="J88" t="s">
        <v>99</v>
      </c>
    </row>
    <row r="89" spans="1:10" ht="30" x14ac:dyDescent="0.25">
      <c r="A89" t="s">
        <v>252</v>
      </c>
      <c r="B89" t="s">
        <v>253</v>
      </c>
      <c r="C89" s="4">
        <v>45881.584201388891</v>
      </c>
      <c r="E89">
        <v>4.7</v>
      </c>
      <c r="F89">
        <v>3.46</v>
      </c>
      <c r="G89">
        <f t="shared" si="2"/>
        <v>-1.2400000000000002</v>
      </c>
      <c r="H89" t="s">
        <v>102</v>
      </c>
      <c r="I89" s="25" t="s">
        <v>321</v>
      </c>
      <c r="J89" t="s">
        <v>95</v>
      </c>
    </row>
    <row r="90" spans="1:10" ht="30" x14ac:dyDescent="0.25">
      <c r="A90" t="s">
        <v>260</v>
      </c>
      <c r="B90" t="s">
        <v>261</v>
      </c>
      <c r="C90" s="4">
        <v>45881.584537037037</v>
      </c>
      <c r="E90">
        <v>8.52</v>
      </c>
      <c r="F90">
        <v>8.3000000000000007</v>
      </c>
      <c r="G90">
        <f t="shared" si="2"/>
        <v>-0.21999999999999886</v>
      </c>
      <c r="H90" t="s">
        <v>121</v>
      </c>
      <c r="I90" s="25" t="s">
        <v>311</v>
      </c>
      <c r="J90" t="s">
        <v>95</v>
      </c>
    </row>
    <row r="91" spans="1:10" ht="30" x14ac:dyDescent="0.25">
      <c r="A91" t="s">
        <v>318</v>
      </c>
      <c r="B91" t="s">
        <v>319</v>
      </c>
      <c r="C91" s="4">
        <v>45881.586689814816</v>
      </c>
      <c r="E91">
        <v>1.85</v>
      </c>
      <c r="F91">
        <v>10.46</v>
      </c>
      <c r="G91">
        <f t="shared" si="2"/>
        <v>8.6100000000000012</v>
      </c>
      <c r="H91" t="s">
        <v>200</v>
      </c>
      <c r="I91" s="25" t="s">
        <v>320</v>
      </c>
      <c r="J91" t="s">
        <v>99</v>
      </c>
    </row>
    <row r="92" spans="1:10" ht="30" x14ac:dyDescent="0.25">
      <c r="A92" t="s">
        <v>315</v>
      </c>
      <c r="B92" t="s">
        <v>316</v>
      </c>
      <c r="C92" s="4">
        <v>45881.61041666667</v>
      </c>
      <c r="E92">
        <v>0.11</v>
      </c>
      <c r="F92">
        <v>29.08</v>
      </c>
      <c r="G92">
        <f t="shared" si="2"/>
        <v>28.97</v>
      </c>
      <c r="H92" t="s">
        <v>102</v>
      </c>
      <c r="I92" s="25" t="s">
        <v>317</v>
      </c>
      <c r="J92" t="s">
        <v>99</v>
      </c>
    </row>
    <row r="93" spans="1:10" ht="30" x14ac:dyDescent="0.25">
      <c r="A93" t="s">
        <v>322</v>
      </c>
      <c r="B93" t="s">
        <v>326</v>
      </c>
      <c r="C93" s="4">
        <v>45882.358344907407</v>
      </c>
      <c r="E93">
        <v>5.16</v>
      </c>
      <c r="F93">
        <v>5.14</v>
      </c>
      <c r="G93">
        <f t="shared" si="2"/>
        <v>-2.0000000000000462E-2</v>
      </c>
      <c r="H93" t="s">
        <v>121</v>
      </c>
      <c r="I93" s="25" t="s">
        <v>323</v>
      </c>
      <c r="J93" t="s">
        <v>95</v>
      </c>
    </row>
    <row r="94" spans="1:10" ht="30" x14ac:dyDescent="0.25">
      <c r="A94" t="s">
        <v>336</v>
      </c>
      <c r="B94" t="s">
        <v>337</v>
      </c>
      <c r="C94" s="4">
        <v>45882.583541666667</v>
      </c>
      <c r="E94">
        <v>6.77</v>
      </c>
      <c r="F94">
        <v>5.8</v>
      </c>
      <c r="G94">
        <f t="shared" si="2"/>
        <v>-0.96999999999999975</v>
      </c>
      <c r="H94" t="s">
        <v>121</v>
      </c>
      <c r="I94" s="25" t="s">
        <v>335</v>
      </c>
      <c r="J94" t="s">
        <v>95</v>
      </c>
    </row>
    <row r="95" spans="1:10" ht="75" x14ac:dyDescent="0.25">
      <c r="A95" t="s">
        <v>331</v>
      </c>
      <c r="B95" t="s">
        <v>332</v>
      </c>
      <c r="C95" s="4">
        <v>45882.583553240744</v>
      </c>
      <c r="E95">
        <v>1.1399999999999999</v>
      </c>
      <c r="F95">
        <v>2.36</v>
      </c>
      <c r="G95">
        <f t="shared" si="2"/>
        <v>1.22</v>
      </c>
      <c r="H95" t="s">
        <v>263</v>
      </c>
      <c r="I95" s="25" t="s">
        <v>333</v>
      </c>
      <c r="J95" t="s">
        <v>95</v>
      </c>
    </row>
    <row r="96" spans="1:10" ht="30" x14ac:dyDescent="0.25">
      <c r="A96" t="s">
        <v>133</v>
      </c>
      <c r="B96" t="s">
        <v>134</v>
      </c>
      <c r="C96" s="4">
        <v>45882.583553240744</v>
      </c>
      <c r="E96">
        <v>13.81</v>
      </c>
      <c r="F96">
        <v>13.78</v>
      </c>
      <c r="G96">
        <f t="shared" si="2"/>
        <v>-3.0000000000001137E-2</v>
      </c>
      <c r="H96" t="s">
        <v>121</v>
      </c>
      <c r="I96" s="25" t="s">
        <v>334</v>
      </c>
      <c r="J96" t="s">
        <v>99</v>
      </c>
    </row>
    <row r="97" spans="1:10" ht="75" x14ac:dyDescent="0.25">
      <c r="A97" t="s">
        <v>324</v>
      </c>
      <c r="B97" t="s">
        <v>325</v>
      </c>
      <c r="C97" s="4">
        <v>45882.583692129629</v>
      </c>
      <c r="E97">
        <v>9.31</v>
      </c>
      <c r="F97">
        <v>23.49</v>
      </c>
      <c r="G97">
        <f t="shared" si="2"/>
        <v>14.179999999999998</v>
      </c>
      <c r="H97" t="s">
        <v>263</v>
      </c>
      <c r="I97" s="25" t="s">
        <v>327</v>
      </c>
      <c r="J97" t="s">
        <v>99</v>
      </c>
    </row>
    <row r="98" spans="1:10" ht="30" x14ac:dyDescent="0.25">
      <c r="A98" t="s">
        <v>328</v>
      </c>
      <c r="B98" t="s">
        <v>329</v>
      </c>
      <c r="C98" s="4">
        <v>45882.585682870369</v>
      </c>
      <c r="E98">
        <v>4.58</v>
      </c>
      <c r="F98">
        <v>4.6900000000000004</v>
      </c>
      <c r="G98">
        <f t="shared" ref="G98:G130" si="3">F98-E98</f>
        <v>0.11000000000000032</v>
      </c>
      <c r="H98" t="s">
        <v>121</v>
      </c>
      <c r="I98" s="25" t="s">
        <v>330</v>
      </c>
      <c r="J98" t="s">
        <v>95</v>
      </c>
    </row>
    <row r="99" spans="1:10" ht="30" x14ac:dyDescent="0.25">
      <c r="A99" t="s">
        <v>338</v>
      </c>
      <c r="B99" t="s">
        <v>339</v>
      </c>
      <c r="C99" s="4">
        <v>45882.639282407406</v>
      </c>
      <c r="E99">
        <v>7.14</v>
      </c>
      <c r="F99">
        <v>7.45</v>
      </c>
      <c r="G99">
        <f t="shared" si="3"/>
        <v>0.3100000000000005</v>
      </c>
      <c r="H99" t="s">
        <v>121</v>
      </c>
      <c r="I99" s="25" t="s">
        <v>340</v>
      </c>
      <c r="J99" t="s">
        <v>95</v>
      </c>
    </row>
    <row r="100" spans="1:10" ht="30" x14ac:dyDescent="0.25">
      <c r="A100" t="s">
        <v>343</v>
      </c>
      <c r="B100" t="s">
        <v>341</v>
      </c>
      <c r="C100" s="4">
        <v>45882.74322916667</v>
      </c>
      <c r="E100">
        <v>5.57</v>
      </c>
      <c r="F100">
        <v>22.34</v>
      </c>
      <c r="G100">
        <f t="shared" si="3"/>
        <v>16.77</v>
      </c>
      <c r="H100" t="s">
        <v>102</v>
      </c>
      <c r="I100" s="25" t="s">
        <v>342</v>
      </c>
      <c r="J100" t="s">
        <v>99</v>
      </c>
    </row>
    <row r="101" spans="1:10" ht="60" x14ac:dyDescent="0.25">
      <c r="A101" t="s">
        <v>346</v>
      </c>
      <c r="B101" t="s">
        <v>345</v>
      </c>
      <c r="C101" s="4">
        <v>45883.384004629632</v>
      </c>
      <c r="E101">
        <v>0.43</v>
      </c>
      <c r="F101">
        <v>1.55</v>
      </c>
      <c r="G101">
        <f t="shared" si="3"/>
        <v>1.1200000000000001</v>
      </c>
      <c r="H101" t="s">
        <v>263</v>
      </c>
      <c r="I101" s="25" t="s">
        <v>344</v>
      </c>
      <c r="J101" t="s">
        <v>99</v>
      </c>
    </row>
    <row r="102" spans="1:10" ht="30" x14ac:dyDescent="0.25">
      <c r="A102" t="s">
        <v>351</v>
      </c>
      <c r="B102" t="s">
        <v>352</v>
      </c>
      <c r="C102" s="4">
        <v>45883.51421296296</v>
      </c>
      <c r="E102">
        <v>2.71</v>
      </c>
      <c r="F102">
        <v>6.67</v>
      </c>
      <c r="G102">
        <f t="shared" si="3"/>
        <v>3.96</v>
      </c>
      <c r="H102" t="s">
        <v>121</v>
      </c>
      <c r="I102" s="25" t="s">
        <v>353</v>
      </c>
      <c r="J102" t="s">
        <v>95</v>
      </c>
    </row>
    <row r="103" spans="1:10" ht="30" x14ac:dyDescent="0.25">
      <c r="A103" t="s">
        <v>347</v>
      </c>
      <c r="B103" t="s">
        <v>348</v>
      </c>
      <c r="C103" t="s">
        <v>350</v>
      </c>
      <c r="E103">
        <v>6.45</v>
      </c>
      <c r="F103">
        <v>59.33</v>
      </c>
      <c r="G103">
        <f>F103-E103</f>
        <v>52.879999999999995</v>
      </c>
      <c r="H103" t="s">
        <v>90</v>
      </c>
      <c r="I103" s="25" t="s">
        <v>349</v>
      </c>
      <c r="J103" s="26" t="s">
        <v>129</v>
      </c>
    </row>
    <row r="104" spans="1:10" x14ac:dyDescent="0.25">
      <c r="A104" t="s">
        <v>355</v>
      </c>
      <c r="B104" t="s">
        <v>354</v>
      </c>
      <c r="C104" s="4">
        <v>45884.390740740739</v>
      </c>
      <c r="F104">
        <v>36.409999999999997</v>
      </c>
      <c r="G104">
        <f t="shared" si="3"/>
        <v>36.409999999999997</v>
      </c>
      <c r="H104" t="s">
        <v>102</v>
      </c>
      <c r="J104" t="s">
        <v>99</v>
      </c>
    </row>
    <row r="105" spans="1:10" ht="30" x14ac:dyDescent="0.25">
      <c r="A105" t="s">
        <v>356</v>
      </c>
      <c r="B105" t="s">
        <v>357</v>
      </c>
      <c r="C105" s="4">
        <v>45884.583692129629</v>
      </c>
      <c r="E105">
        <v>1.25</v>
      </c>
      <c r="F105">
        <v>2.4700000000000002</v>
      </c>
      <c r="G105">
        <f t="shared" si="3"/>
        <v>1.2200000000000002</v>
      </c>
      <c r="H105" t="s">
        <v>263</v>
      </c>
      <c r="I105" s="25" t="s">
        <v>358</v>
      </c>
      <c r="J105" t="s">
        <v>95</v>
      </c>
    </row>
    <row r="106" spans="1:10" ht="30" x14ac:dyDescent="0.25">
      <c r="A106" t="s">
        <v>365</v>
      </c>
      <c r="B106" t="s">
        <v>366</v>
      </c>
      <c r="C106" s="4">
        <v>45884.591782407406</v>
      </c>
      <c r="E106">
        <v>5.89</v>
      </c>
      <c r="F106">
        <v>36.83</v>
      </c>
      <c r="G106">
        <f t="shared" si="3"/>
        <v>30.939999999999998</v>
      </c>
      <c r="H106" t="s">
        <v>90</v>
      </c>
      <c r="I106" s="25" t="s">
        <v>367</v>
      </c>
      <c r="J106" t="s">
        <v>95</v>
      </c>
    </row>
    <row r="107" spans="1:10" ht="30" x14ac:dyDescent="0.25">
      <c r="A107" t="s">
        <v>359</v>
      </c>
      <c r="B107" t="s">
        <v>360</v>
      </c>
      <c r="C107" s="4">
        <v>45884.600775462961</v>
      </c>
      <c r="E107">
        <v>5.2</v>
      </c>
      <c r="F107">
        <v>6.57</v>
      </c>
      <c r="G107">
        <f t="shared" si="3"/>
        <v>1.37</v>
      </c>
      <c r="H107" t="s">
        <v>362</v>
      </c>
      <c r="I107" s="25" t="s">
        <v>361</v>
      </c>
      <c r="J107" t="s">
        <v>95</v>
      </c>
    </row>
    <row r="108" spans="1:10" ht="30" x14ac:dyDescent="0.25">
      <c r="A108" t="s">
        <v>246</v>
      </c>
      <c r="B108" t="s">
        <v>247</v>
      </c>
      <c r="C108" s="4">
        <v>45884.603310185186</v>
      </c>
      <c r="E108">
        <v>7.35</v>
      </c>
      <c r="F108">
        <v>7.47</v>
      </c>
      <c r="G108">
        <f t="shared" si="3"/>
        <v>0.12000000000000011</v>
      </c>
      <c r="H108" t="s">
        <v>102</v>
      </c>
      <c r="I108" s="25" t="s">
        <v>363</v>
      </c>
      <c r="J108" t="s">
        <v>99</v>
      </c>
    </row>
    <row r="109" spans="1:10" ht="30" x14ac:dyDescent="0.25">
      <c r="A109" t="s">
        <v>76</v>
      </c>
      <c r="B109" t="s">
        <v>77</v>
      </c>
      <c r="C109" s="4">
        <v>45884.615891203706</v>
      </c>
      <c r="E109">
        <v>2.14</v>
      </c>
      <c r="F109">
        <v>37.9</v>
      </c>
      <c r="G109">
        <f t="shared" si="3"/>
        <v>35.76</v>
      </c>
      <c r="H109" t="s">
        <v>90</v>
      </c>
      <c r="I109" s="25" t="s">
        <v>364</v>
      </c>
      <c r="J109" t="s">
        <v>95</v>
      </c>
    </row>
    <row r="110" spans="1:10" ht="30" x14ac:dyDescent="0.25">
      <c r="A110" t="s">
        <v>356</v>
      </c>
      <c r="B110" t="s">
        <v>357</v>
      </c>
      <c r="C110" s="4">
        <v>45887.583553240744</v>
      </c>
      <c r="E110">
        <v>2.14</v>
      </c>
      <c r="F110">
        <v>2.39</v>
      </c>
      <c r="G110">
        <f t="shared" si="3"/>
        <v>0.25</v>
      </c>
      <c r="H110" t="s">
        <v>200</v>
      </c>
      <c r="I110" s="25" t="s">
        <v>368</v>
      </c>
      <c r="J110" t="s">
        <v>95</v>
      </c>
    </row>
    <row r="111" spans="1:10" ht="30" x14ac:dyDescent="0.25">
      <c r="A111" t="s">
        <v>375</v>
      </c>
      <c r="B111" t="s">
        <v>376</v>
      </c>
      <c r="C111" s="4">
        <v>45887.583692129629</v>
      </c>
      <c r="E111">
        <v>0.13</v>
      </c>
      <c r="F111">
        <v>0.11</v>
      </c>
      <c r="G111">
        <f t="shared" si="3"/>
        <v>-2.0000000000000004E-2</v>
      </c>
      <c r="H111" t="s">
        <v>121</v>
      </c>
      <c r="I111" s="25" t="s">
        <v>377</v>
      </c>
      <c r="J111" t="s">
        <v>95</v>
      </c>
    </row>
    <row r="112" spans="1:10" ht="30" x14ac:dyDescent="0.25">
      <c r="A112" t="s">
        <v>209</v>
      </c>
      <c r="B112" t="s">
        <v>210</v>
      </c>
      <c r="C112" s="4">
        <v>45887.583831018521</v>
      </c>
      <c r="E112">
        <v>0.18</v>
      </c>
      <c r="F112">
        <v>0.18</v>
      </c>
      <c r="G112">
        <f t="shared" si="3"/>
        <v>0</v>
      </c>
      <c r="H112" t="s">
        <v>121</v>
      </c>
      <c r="I112" s="25" t="s">
        <v>379</v>
      </c>
      <c r="J112" t="s">
        <v>99</v>
      </c>
    </row>
    <row r="113" spans="1:10" ht="30" x14ac:dyDescent="0.25">
      <c r="A113" t="s">
        <v>369</v>
      </c>
      <c r="B113" t="s">
        <v>370</v>
      </c>
      <c r="C113" s="4">
        <v>45887.587569444448</v>
      </c>
      <c r="E113">
        <v>5.43</v>
      </c>
      <c r="F113">
        <v>5.44</v>
      </c>
      <c r="G113">
        <f t="shared" si="3"/>
        <v>1.0000000000000675E-2</v>
      </c>
      <c r="H113" t="s">
        <v>121</v>
      </c>
      <c r="I113" s="25" t="s">
        <v>371</v>
      </c>
      <c r="J113" t="s">
        <v>95</v>
      </c>
    </row>
    <row r="114" spans="1:10" ht="30" x14ac:dyDescent="0.25">
      <c r="A114" t="s">
        <v>104</v>
      </c>
      <c r="B114" t="s">
        <v>105</v>
      </c>
      <c r="C114" s="4">
        <v>45887.594583333332</v>
      </c>
      <c r="E114">
        <v>4.99</v>
      </c>
      <c r="F114">
        <v>4.9400000000000004</v>
      </c>
      <c r="G114">
        <f t="shared" si="3"/>
        <v>-4.9999999999999822E-2</v>
      </c>
      <c r="H114" t="s">
        <v>121</v>
      </c>
      <c r="I114" s="25" t="s">
        <v>378</v>
      </c>
      <c r="J114" t="s">
        <v>95</v>
      </c>
    </row>
    <row r="115" spans="1:10" ht="30" x14ac:dyDescent="0.25">
      <c r="A115" t="s">
        <v>372</v>
      </c>
      <c r="B115" t="s">
        <v>373</v>
      </c>
      <c r="C115" s="4">
        <v>45887.603391203702</v>
      </c>
      <c r="E115">
        <v>3.53</v>
      </c>
      <c r="F115">
        <v>3.52</v>
      </c>
      <c r="G115">
        <f t="shared" si="3"/>
        <v>-9.9999999999997868E-3</v>
      </c>
      <c r="H115" t="s">
        <v>111</v>
      </c>
      <c r="I115" s="25" t="s">
        <v>374</v>
      </c>
      <c r="J115" t="s">
        <v>95</v>
      </c>
    </row>
    <row r="116" spans="1:10" ht="30" x14ac:dyDescent="0.25">
      <c r="A116" t="s">
        <v>305</v>
      </c>
      <c r="B116" t="s">
        <v>306</v>
      </c>
      <c r="C116" s="4">
        <v>45888.583645833336</v>
      </c>
      <c r="E116">
        <v>0.15</v>
      </c>
      <c r="F116">
        <v>2.65</v>
      </c>
      <c r="G116">
        <f t="shared" si="3"/>
        <v>2.5</v>
      </c>
      <c r="H116" t="s">
        <v>90</v>
      </c>
      <c r="I116" s="25" t="s">
        <v>389</v>
      </c>
      <c r="J116" t="s">
        <v>95</v>
      </c>
    </row>
    <row r="117" spans="1:10" ht="30" x14ac:dyDescent="0.25">
      <c r="A117" t="s">
        <v>252</v>
      </c>
      <c r="B117" t="s">
        <v>253</v>
      </c>
      <c r="C117" s="4">
        <v>45888.583703703705</v>
      </c>
      <c r="E117">
        <v>2.1</v>
      </c>
      <c r="F117">
        <v>13.39</v>
      </c>
      <c r="G117">
        <f t="shared" si="3"/>
        <v>11.290000000000001</v>
      </c>
      <c r="H117" t="s">
        <v>102</v>
      </c>
      <c r="I117" s="25" t="s">
        <v>396</v>
      </c>
      <c r="J117" t="s">
        <v>95</v>
      </c>
    </row>
    <row r="118" spans="1:10" ht="30" x14ac:dyDescent="0.25">
      <c r="A118" t="s">
        <v>390</v>
      </c>
      <c r="B118" t="s">
        <v>391</v>
      </c>
      <c r="C118" s="4">
        <v>45888.583715277775</v>
      </c>
      <c r="E118">
        <v>0.06</v>
      </c>
      <c r="F118">
        <v>46.3</v>
      </c>
      <c r="G118">
        <f t="shared" si="3"/>
        <v>46.239999999999995</v>
      </c>
      <c r="H118" t="s">
        <v>90</v>
      </c>
      <c r="I118" s="25" t="s">
        <v>392</v>
      </c>
      <c r="J118" t="s">
        <v>99</v>
      </c>
    </row>
    <row r="119" spans="1:10" x14ac:dyDescent="0.25">
      <c r="A119" t="s">
        <v>384</v>
      </c>
      <c r="B119" t="s">
        <v>385</v>
      </c>
      <c r="C119" s="4">
        <v>45888.584305555552</v>
      </c>
      <c r="E119">
        <v>11.04</v>
      </c>
      <c r="F119">
        <v>11.04</v>
      </c>
      <c r="G119">
        <f t="shared" si="3"/>
        <v>0</v>
      </c>
      <c r="H119" t="s">
        <v>121</v>
      </c>
      <c r="I119" s="25" t="s">
        <v>386</v>
      </c>
      <c r="J119" t="s">
        <v>95</v>
      </c>
    </row>
    <row r="120" spans="1:10" ht="30" x14ac:dyDescent="0.25">
      <c r="A120" t="s">
        <v>369</v>
      </c>
      <c r="B120" t="s">
        <v>370</v>
      </c>
      <c r="C120" s="4">
        <v>45888.584814814814</v>
      </c>
      <c r="E120">
        <v>2.96</v>
      </c>
      <c r="F120">
        <v>2.96</v>
      </c>
      <c r="G120">
        <f t="shared" si="3"/>
        <v>0</v>
      </c>
      <c r="H120" t="s">
        <v>121</v>
      </c>
      <c r="I120" s="25" t="s">
        <v>387</v>
      </c>
      <c r="J120" t="s">
        <v>95</v>
      </c>
    </row>
    <row r="121" spans="1:10" ht="30" x14ac:dyDescent="0.25">
      <c r="A121" t="s">
        <v>246</v>
      </c>
      <c r="B121" t="s">
        <v>247</v>
      </c>
      <c r="C121" s="4">
        <v>45888.585115740738</v>
      </c>
      <c r="E121">
        <v>3.62</v>
      </c>
      <c r="F121">
        <v>3.55</v>
      </c>
      <c r="G121">
        <f t="shared" si="3"/>
        <v>-7.0000000000000284E-2</v>
      </c>
      <c r="H121" t="s">
        <v>121</v>
      </c>
      <c r="I121" s="25" t="s">
        <v>388</v>
      </c>
      <c r="J121" t="s">
        <v>95</v>
      </c>
    </row>
    <row r="122" spans="1:10" ht="90" x14ac:dyDescent="0.25">
      <c r="A122" t="s">
        <v>163</v>
      </c>
      <c r="B122" t="s">
        <v>164</v>
      </c>
      <c r="C122" s="4">
        <v>45888.597974537035</v>
      </c>
      <c r="E122">
        <v>5.15</v>
      </c>
      <c r="F122">
        <v>4.33</v>
      </c>
      <c r="G122">
        <f t="shared" si="3"/>
        <v>-0.82000000000000028</v>
      </c>
      <c r="H122" t="s">
        <v>121</v>
      </c>
      <c r="I122" s="25" t="s">
        <v>397</v>
      </c>
      <c r="J122" t="s">
        <v>95</v>
      </c>
    </row>
    <row r="123" spans="1:10" ht="30" x14ac:dyDescent="0.25">
      <c r="A123" t="s">
        <v>393</v>
      </c>
      <c r="B123" t="s">
        <v>394</v>
      </c>
      <c r="C123" s="4">
        <v>45888.611597222225</v>
      </c>
      <c r="E123">
        <v>4.28</v>
      </c>
      <c r="F123">
        <v>4.28</v>
      </c>
      <c r="G123">
        <f t="shared" si="3"/>
        <v>0</v>
      </c>
      <c r="H123" t="s">
        <v>121</v>
      </c>
      <c r="I123" s="25" t="s">
        <v>395</v>
      </c>
      <c r="J123" t="s">
        <v>95</v>
      </c>
    </row>
    <row r="124" spans="1:10" ht="30" x14ac:dyDescent="0.25">
      <c r="A124" t="s">
        <v>215</v>
      </c>
      <c r="B124" t="s">
        <v>216</v>
      </c>
      <c r="C124" s="4">
        <v>45889.583634259259</v>
      </c>
      <c r="E124">
        <v>3.85</v>
      </c>
      <c r="F124">
        <v>3.87</v>
      </c>
      <c r="G124">
        <f t="shared" si="3"/>
        <v>2.0000000000000018E-2</v>
      </c>
      <c r="H124" t="s">
        <v>121</v>
      </c>
      <c r="I124" s="25" t="s">
        <v>398</v>
      </c>
      <c r="J124" t="s">
        <v>95</v>
      </c>
    </row>
    <row r="125" spans="1:10" ht="30" x14ac:dyDescent="0.25">
      <c r="A125" t="s">
        <v>402</v>
      </c>
      <c r="B125" t="s">
        <v>403</v>
      </c>
      <c r="C125" s="4">
        <v>45889.583645833336</v>
      </c>
      <c r="E125">
        <v>3.29</v>
      </c>
      <c r="F125">
        <v>56.91</v>
      </c>
      <c r="G125">
        <f t="shared" si="3"/>
        <v>53.62</v>
      </c>
      <c r="H125" t="s">
        <v>90</v>
      </c>
      <c r="I125" s="25" t="s">
        <v>404</v>
      </c>
      <c r="J125" t="s">
        <v>99</v>
      </c>
    </row>
    <row r="126" spans="1:10" ht="75" x14ac:dyDescent="0.25">
      <c r="A126" t="s">
        <v>413</v>
      </c>
      <c r="B126" t="s">
        <v>414</v>
      </c>
      <c r="C126" s="4">
        <v>45889.58394675926</v>
      </c>
      <c r="E126">
        <v>9.76</v>
      </c>
      <c r="F126">
        <v>9.59</v>
      </c>
      <c r="G126">
        <f t="shared" si="3"/>
        <v>-0.16999999999999993</v>
      </c>
      <c r="H126" t="s">
        <v>408</v>
      </c>
      <c r="I126" s="25" t="s">
        <v>415</v>
      </c>
      <c r="J126" t="s">
        <v>99</v>
      </c>
    </row>
    <row r="127" spans="1:10" ht="30" x14ac:dyDescent="0.25">
      <c r="A127" t="s">
        <v>399</v>
      </c>
      <c r="B127" t="s">
        <v>400</v>
      </c>
      <c r="C127" s="4">
        <v>45889.58935185185</v>
      </c>
      <c r="E127">
        <v>5.41</v>
      </c>
      <c r="F127">
        <v>5.41</v>
      </c>
      <c r="G127">
        <f t="shared" si="3"/>
        <v>0</v>
      </c>
      <c r="H127" t="s">
        <v>121</v>
      </c>
      <c r="I127" s="25" t="s">
        <v>401</v>
      </c>
      <c r="J127" t="s">
        <v>95</v>
      </c>
    </row>
    <row r="128" spans="1:10" ht="30" x14ac:dyDescent="0.25">
      <c r="A128" t="s">
        <v>252</v>
      </c>
      <c r="B128" t="s">
        <v>253</v>
      </c>
      <c r="C128" s="4">
        <v>45889.609027777777</v>
      </c>
      <c r="E128">
        <v>8.5500000000000007</v>
      </c>
      <c r="F128">
        <v>19.88</v>
      </c>
      <c r="G128">
        <f t="shared" si="3"/>
        <v>11.329999999999998</v>
      </c>
      <c r="H128" t="s">
        <v>102</v>
      </c>
      <c r="I128" s="25" t="s">
        <v>406</v>
      </c>
      <c r="J128" t="s">
        <v>95</v>
      </c>
    </row>
    <row r="129" spans="1:10" ht="30" x14ac:dyDescent="0.25">
      <c r="A129" t="s">
        <v>356</v>
      </c>
      <c r="B129" t="s">
        <v>357</v>
      </c>
      <c r="C129" s="4">
        <v>45889.616099537037</v>
      </c>
      <c r="E129">
        <v>2.4300000000000002</v>
      </c>
      <c r="F129">
        <v>6.3</v>
      </c>
      <c r="G129">
        <f t="shared" si="3"/>
        <v>3.8699999999999997</v>
      </c>
      <c r="H129" t="s">
        <v>102</v>
      </c>
      <c r="I129" s="25" t="s">
        <v>405</v>
      </c>
      <c r="J129" t="s">
        <v>95</v>
      </c>
    </row>
    <row r="130" spans="1:10" ht="75" x14ac:dyDescent="0.25">
      <c r="A130" t="s">
        <v>409</v>
      </c>
      <c r="B130" t="s">
        <v>410</v>
      </c>
      <c r="C130" s="4">
        <v>45889.61613425926</v>
      </c>
      <c r="E130">
        <v>2.37</v>
      </c>
      <c r="F130">
        <v>2.76</v>
      </c>
      <c r="G130">
        <f t="shared" si="3"/>
        <v>0.38999999999999968</v>
      </c>
      <c r="H130" t="s">
        <v>412</v>
      </c>
      <c r="I130" s="25" t="s">
        <v>411</v>
      </c>
      <c r="J130" t="s">
        <v>95</v>
      </c>
    </row>
    <row r="131" spans="1:10" ht="30" x14ac:dyDescent="0.25">
      <c r="A131" t="s">
        <v>108</v>
      </c>
      <c r="B131" t="s">
        <v>109</v>
      </c>
      <c r="C131" s="4">
        <v>45889.621168981481</v>
      </c>
      <c r="E131">
        <v>0.02</v>
      </c>
      <c r="F131">
        <v>0</v>
      </c>
      <c r="G131">
        <f t="shared" ref="G131:G149" si="4">F131-E131</f>
        <v>-0.02</v>
      </c>
      <c r="H131" t="s">
        <v>408</v>
      </c>
      <c r="I131" s="25" t="s">
        <v>407</v>
      </c>
      <c r="J131" t="s">
        <v>95</v>
      </c>
    </row>
    <row r="132" spans="1:10" ht="30" x14ac:dyDescent="0.25">
      <c r="A132" t="s">
        <v>416</v>
      </c>
      <c r="B132" t="s">
        <v>417</v>
      </c>
      <c r="C132" s="4">
        <v>45890.583587962959</v>
      </c>
      <c r="E132">
        <v>2.2599999999999998</v>
      </c>
      <c r="F132">
        <v>34.31</v>
      </c>
      <c r="G132">
        <f t="shared" si="4"/>
        <v>32.050000000000004</v>
      </c>
      <c r="H132" t="s">
        <v>90</v>
      </c>
      <c r="I132" s="25" t="s">
        <v>418</v>
      </c>
      <c r="J132" s="26" t="s">
        <v>129</v>
      </c>
    </row>
    <row r="133" spans="1:10" ht="30" x14ac:dyDescent="0.25">
      <c r="A133" t="s">
        <v>356</v>
      </c>
      <c r="B133" t="s">
        <v>357</v>
      </c>
      <c r="C133" s="4">
        <v>45890.60297453704</v>
      </c>
      <c r="E133">
        <v>2.0499999999999998</v>
      </c>
      <c r="F133">
        <v>2.41</v>
      </c>
      <c r="G133">
        <f t="shared" si="4"/>
        <v>0.36000000000000032</v>
      </c>
      <c r="H133" t="s">
        <v>102</v>
      </c>
      <c r="I133" s="25" t="s">
        <v>419</v>
      </c>
      <c r="J133" t="s">
        <v>95</v>
      </c>
    </row>
    <row r="134" spans="1:10" ht="30" x14ac:dyDescent="0.25">
      <c r="A134" t="s">
        <v>393</v>
      </c>
      <c r="B134" t="s">
        <v>394</v>
      </c>
      <c r="C134" s="4">
        <v>45891.583587962959</v>
      </c>
      <c r="E134">
        <v>4.5599999999999996</v>
      </c>
      <c r="F134">
        <v>4.5599999999999996</v>
      </c>
      <c r="G134">
        <f t="shared" si="4"/>
        <v>0</v>
      </c>
      <c r="H134" t="s">
        <v>121</v>
      </c>
      <c r="I134" s="25" t="s">
        <v>420</v>
      </c>
      <c r="J134" t="s">
        <v>95</v>
      </c>
    </row>
    <row r="135" spans="1:10" ht="30" x14ac:dyDescent="0.25">
      <c r="A135" t="s">
        <v>356</v>
      </c>
      <c r="B135" t="s">
        <v>357</v>
      </c>
      <c r="C135" s="4">
        <v>45891.694398148145</v>
      </c>
      <c r="E135">
        <v>2.2599999999999998</v>
      </c>
      <c r="F135">
        <v>3.19</v>
      </c>
      <c r="G135">
        <f t="shared" si="4"/>
        <v>0.93000000000000016</v>
      </c>
      <c r="H135" t="s">
        <v>102</v>
      </c>
      <c r="I135" s="25" t="s">
        <v>421</v>
      </c>
      <c r="J135" t="s">
        <v>95</v>
      </c>
    </row>
    <row r="136" spans="1:10" x14ac:dyDescent="0.25">
      <c r="A136" t="s">
        <v>423</v>
      </c>
      <c r="B136" t="s">
        <v>422</v>
      </c>
      <c r="C136" s="27">
        <v>45894</v>
      </c>
      <c r="F136">
        <v>67.28</v>
      </c>
      <c r="G136">
        <f t="shared" si="4"/>
        <v>67.28</v>
      </c>
      <c r="H136" t="s">
        <v>102</v>
      </c>
    </row>
    <row r="137" spans="1:10" ht="30" x14ac:dyDescent="0.25">
      <c r="A137" t="s">
        <v>209</v>
      </c>
      <c r="B137" t="s">
        <v>210</v>
      </c>
      <c r="C137" s="4">
        <v>45894.583553240744</v>
      </c>
      <c r="E137">
        <v>0.99</v>
      </c>
      <c r="F137">
        <v>0.99</v>
      </c>
      <c r="G137">
        <f t="shared" si="4"/>
        <v>0</v>
      </c>
      <c r="H137" t="s">
        <v>121</v>
      </c>
      <c r="I137" s="25" t="s">
        <v>300</v>
      </c>
      <c r="J137" t="s">
        <v>95</v>
      </c>
    </row>
    <row r="138" spans="1:10" ht="30" x14ac:dyDescent="0.25">
      <c r="A138" t="s">
        <v>424</v>
      </c>
      <c r="B138" t="s">
        <v>425</v>
      </c>
      <c r="C138" s="4">
        <v>45894.583726851852</v>
      </c>
      <c r="E138">
        <v>5.1100000000000003</v>
      </c>
      <c r="F138">
        <v>36.07</v>
      </c>
      <c r="G138">
        <f t="shared" si="4"/>
        <v>30.96</v>
      </c>
      <c r="H138" t="s">
        <v>90</v>
      </c>
      <c r="I138" s="25" t="s">
        <v>426</v>
      </c>
      <c r="J138" t="s">
        <v>99</v>
      </c>
    </row>
    <row r="139" spans="1:10" ht="30" x14ac:dyDescent="0.25">
      <c r="A139" t="s">
        <v>428</v>
      </c>
      <c r="B139" t="s">
        <v>429</v>
      </c>
      <c r="C139" s="4">
        <v>45894.583726851852</v>
      </c>
      <c r="E139">
        <v>2.62</v>
      </c>
      <c r="F139">
        <v>54.81</v>
      </c>
      <c r="G139">
        <f t="shared" si="4"/>
        <v>52.190000000000005</v>
      </c>
      <c r="H139" t="s">
        <v>263</v>
      </c>
      <c r="I139" s="25" t="s">
        <v>430</v>
      </c>
      <c r="J139" t="s">
        <v>95</v>
      </c>
    </row>
    <row r="140" spans="1:10" ht="30" x14ac:dyDescent="0.25">
      <c r="A140" t="s">
        <v>108</v>
      </c>
      <c r="B140" t="s">
        <v>109</v>
      </c>
      <c r="C140" s="4">
        <v>45894.592777777776</v>
      </c>
      <c r="E140">
        <v>6.33</v>
      </c>
      <c r="F140">
        <v>6.13</v>
      </c>
      <c r="G140">
        <f t="shared" si="4"/>
        <v>-0.20000000000000018</v>
      </c>
      <c r="H140" t="s">
        <v>121</v>
      </c>
      <c r="I140" s="25" t="s">
        <v>427</v>
      </c>
      <c r="J140" t="s">
        <v>95</v>
      </c>
    </row>
    <row r="141" spans="1:10" ht="30" x14ac:dyDescent="0.25">
      <c r="A141" t="s">
        <v>252</v>
      </c>
      <c r="B141" t="s">
        <v>253</v>
      </c>
      <c r="C141" s="4">
        <v>45894.610081018516</v>
      </c>
      <c r="E141">
        <v>10.050000000000001</v>
      </c>
      <c r="F141">
        <v>17.28</v>
      </c>
      <c r="G141">
        <f t="shared" si="4"/>
        <v>7.23</v>
      </c>
      <c r="H141" t="s">
        <v>102</v>
      </c>
      <c r="I141" s="25" t="s">
        <v>431</v>
      </c>
      <c r="J141" t="s">
        <v>95</v>
      </c>
    </row>
    <row r="142" spans="1:10" ht="30" x14ac:dyDescent="0.25">
      <c r="A142" t="s">
        <v>328</v>
      </c>
      <c r="B142" t="s">
        <v>329</v>
      </c>
      <c r="C142" s="4">
        <v>45895.425312500003</v>
      </c>
      <c r="E142">
        <v>10.89</v>
      </c>
      <c r="F142">
        <v>10.89</v>
      </c>
      <c r="G142">
        <f t="shared" si="4"/>
        <v>0</v>
      </c>
      <c r="H142" t="s">
        <v>121</v>
      </c>
      <c r="I142" s="25" t="s">
        <v>433</v>
      </c>
      <c r="J142" t="s">
        <v>95</v>
      </c>
    </row>
    <row r="143" spans="1:10" ht="30" x14ac:dyDescent="0.25">
      <c r="A143" t="s">
        <v>305</v>
      </c>
      <c r="B143" t="s">
        <v>306</v>
      </c>
      <c r="C143" s="4">
        <v>45895.583761574075</v>
      </c>
      <c r="E143">
        <v>0.28999999999999998</v>
      </c>
      <c r="F143">
        <v>0.28999999999999998</v>
      </c>
      <c r="G143">
        <f t="shared" si="4"/>
        <v>0</v>
      </c>
      <c r="H143" t="s">
        <v>121</v>
      </c>
      <c r="I143" s="25" t="s">
        <v>432</v>
      </c>
      <c r="J143" t="s">
        <v>95</v>
      </c>
    </row>
    <row r="144" spans="1:10" ht="30" x14ac:dyDescent="0.25">
      <c r="A144" t="s">
        <v>369</v>
      </c>
      <c r="B144" t="s">
        <v>370</v>
      </c>
      <c r="C144" s="4">
        <v>45895.584756944445</v>
      </c>
      <c r="E144">
        <v>9.93</v>
      </c>
      <c r="F144">
        <v>9.94</v>
      </c>
      <c r="G144">
        <f t="shared" si="4"/>
        <v>9.9999999999997868E-3</v>
      </c>
      <c r="H144" t="s">
        <v>111</v>
      </c>
      <c r="I144" s="25" t="s">
        <v>440</v>
      </c>
      <c r="J144" t="s">
        <v>95</v>
      </c>
    </row>
    <row r="145" spans="1:10" ht="30" x14ac:dyDescent="0.25">
      <c r="A145" t="s">
        <v>252</v>
      </c>
      <c r="B145" t="s">
        <v>253</v>
      </c>
      <c r="C145" s="4">
        <v>45895.585011574076</v>
      </c>
      <c r="E145">
        <v>9.5399999999999991</v>
      </c>
      <c r="F145">
        <v>12.58</v>
      </c>
      <c r="G145">
        <f t="shared" si="4"/>
        <v>3.0400000000000009</v>
      </c>
      <c r="H145" t="s">
        <v>442</v>
      </c>
      <c r="I145" s="25" t="s">
        <v>441</v>
      </c>
      <c r="J145" t="s">
        <v>95</v>
      </c>
    </row>
    <row r="146" spans="1:10" ht="30" x14ac:dyDescent="0.25">
      <c r="A146" t="s">
        <v>443</v>
      </c>
      <c r="B146" t="s">
        <v>444</v>
      </c>
      <c r="C146" s="4">
        <v>45895.588159722225</v>
      </c>
      <c r="E146">
        <v>1.49</v>
      </c>
      <c r="F146">
        <v>2.4300000000000002</v>
      </c>
      <c r="G146">
        <f t="shared" si="4"/>
        <v>0.94000000000000017</v>
      </c>
      <c r="H146" t="s">
        <v>121</v>
      </c>
      <c r="I146" s="25" t="s">
        <v>445</v>
      </c>
      <c r="J146" t="s">
        <v>95</v>
      </c>
    </row>
    <row r="147" spans="1:10" s="34" customFormat="1" ht="30" x14ac:dyDescent="0.25">
      <c r="A147" s="34" t="s">
        <v>446</v>
      </c>
      <c r="B147" s="34" t="s">
        <v>447</v>
      </c>
      <c r="C147" s="35">
        <v>45895.587534722225</v>
      </c>
      <c r="E147" s="34">
        <v>6.41</v>
      </c>
      <c r="F147" s="34">
        <v>6.29</v>
      </c>
      <c r="G147" s="34">
        <f t="shared" si="4"/>
        <v>-0.12000000000000011</v>
      </c>
      <c r="H147" t="s">
        <v>121</v>
      </c>
      <c r="I147" s="36" t="s">
        <v>448</v>
      </c>
      <c r="J147" t="s">
        <v>95</v>
      </c>
    </row>
    <row r="148" spans="1:10" ht="30" x14ac:dyDescent="0.25">
      <c r="A148" s="34" t="s">
        <v>308</v>
      </c>
      <c r="B148" s="34" t="s">
        <v>309</v>
      </c>
      <c r="C148" s="4">
        <v>45895.583518518521</v>
      </c>
      <c r="E148" s="34">
        <v>11.95</v>
      </c>
      <c r="F148" s="34">
        <v>70.11</v>
      </c>
      <c r="G148" s="34">
        <f t="shared" si="4"/>
        <v>58.16</v>
      </c>
      <c r="H148" t="s">
        <v>102</v>
      </c>
      <c r="I148" s="25" t="s">
        <v>449</v>
      </c>
      <c r="J148" t="s">
        <v>95</v>
      </c>
    </row>
    <row r="149" spans="1:10" ht="75" x14ac:dyDescent="0.25">
      <c r="A149" s="34" t="s">
        <v>450</v>
      </c>
      <c r="B149" s="34" t="s">
        <v>451</v>
      </c>
      <c r="C149" s="4">
        <v>45895.583657407406</v>
      </c>
      <c r="E149" s="34">
        <v>1.23</v>
      </c>
      <c r="F149" s="34">
        <v>1.86</v>
      </c>
      <c r="G149" s="34">
        <f t="shared" si="4"/>
        <v>0.63000000000000012</v>
      </c>
      <c r="H149" t="s">
        <v>263</v>
      </c>
      <c r="I149" s="25" t="s">
        <v>452</v>
      </c>
      <c r="J149" t="s">
        <v>99</v>
      </c>
    </row>
    <row r="150" spans="1:10" ht="90" x14ac:dyDescent="0.25">
      <c r="A150" t="s">
        <v>163</v>
      </c>
      <c r="B150" t="s">
        <v>164</v>
      </c>
      <c r="C150" s="4">
        <v>45895.587835648148</v>
      </c>
      <c r="E150">
        <v>1.36</v>
      </c>
      <c r="F150">
        <v>1.59</v>
      </c>
      <c r="H150" t="s">
        <v>121</v>
      </c>
      <c r="I150" s="25" t="s">
        <v>453</v>
      </c>
      <c r="J150" t="s">
        <v>99</v>
      </c>
    </row>
    <row r="151" spans="1:10" ht="30" x14ac:dyDescent="0.25">
      <c r="A151" t="s">
        <v>454</v>
      </c>
      <c r="B151" t="s">
        <v>455</v>
      </c>
      <c r="C151" t="s">
        <v>456</v>
      </c>
      <c r="E151">
        <v>20.48</v>
      </c>
      <c r="F151">
        <v>20.48</v>
      </c>
      <c r="H151" t="s">
        <v>121</v>
      </c>
      <c r="I151" s="25" t="s">
        <v>457</v>
      </c>
      <c r="J151" t="s">
        <v>99</v>
      </c>
    </row>
    <row r="152" spans="1:10" ht="30" x14ac:dyDescent="0.25">
      <c r="A152" t="s">
        <v>215</v>
      </c>
      <c r="B152" t="s">
        <v>216</v>
      </c>
      <c r="C152" s="4">
        <v>45896.583749999998</v>
      </c>
      <c r="E152">
        <v>0.36</v>
      </c>
      <c r="F152">
        <v>0.36</v>
      </c>
      <c r="H152" t="s">
        <v>121</v>
      </c>
      <c r="I152" s="25" t="s">
        <v>458</v>
      </c>
      <c r="J152" t="s">
        <v>99</v>
      </c>
    </row>
    <row r="153" spans="1:10" ht="30" x14ac:dyDescent="0.25">
      <c r="A153" t="s">
        <v>459</v>
      </c>
      <c r="B153" t="s">
        <v>460</v>
      </c>
      <c r="C153" s="4">
        <v>45896.583495370367</v>
      </c>
      <c r="E153">
        <v>0.19</v>
      </c>
      <c r="F153">
        <v>0.19</v>
      </c>
      <c r="H153" t="s">
        <v>121</v>
      </c>
      <c r="I153" s="25" t="s">
        <v>461</v>
      </c>
      <c r="J153" t="s">
        <v>99</v>
      </c>
    </row>
    <row r="154" spans="1:10" ht="75" x14ac:dyDescent="0.25">
      <c r="A154" t="s">
        <v>462</v>
      </c>
      <c r="B154" t="s">
        <v>463</v>
      </c>
      <c r="C154" s="4">
        <v>45896.583634259259</v>
      </c>
      <c r="E154">
        <v>2.19</v>
      </c>
      <c r="F154">
        <v>5.01</v>
      </c>
      <c r="H154" t="s">
        <v>263</v>
      </c>
      <c r="I154" s="25" t="s">
        <v>464</v>
      </c>
      <c r="J154" t="s">
        <v>99</v>
      </c>
    </row>
    <row r="155" spans="1:10" ht="30" x14ac:dyDescent="0.25">
      <c r="A155" t="s">
        <v>465</v>
      </c>
      <c r="B155" t="s">
        <v>466</v>
      </c>
      <c r="C155" s="4">
        <v>45896.596296296295</v>
      </c>
      <c r="E155">
        <v>2.06</v>
      </c>
      <c r="F155">
        <v>33.64</v>
      </c>
      <c r="H155" t="s">
        <v>90</v>
      </c>
      <c r="I155" s="25" t="s">
        <v>467</v>
      </c>
      <c r="J155" t="s">
        <v>99</v>
      </c>
    </row>
    <row r="156" spans="1:10" ht="30" x14ac:dyDescent="0.25">
      <c r="A156" t="s">
        <v>469</v>
      </c>
      <c r="B156" t="s">
        <v>470</v>
      </c>
      <c r="C156" s="4">
        <v>45896.583715277775</v>
      </c>
      <c r="E156">
        <v>1.35</v>
      </c>
      <c r="F156">
        <v>1.31</v>
      </c>
      <c r="H156" t="s">
        <v>121</v>
      </c>
      <c r="I156" s="25" t="s">
        <v>468</v>
      </c>
      <c r="J156" t="s">
        <v>99</v>
      </c>
    </row>
    <row r="157" spans="1:10" ht="30" x14ac:dyDescent="0.25">
      <c r="A157" t="s">
        <v>322</v>
      </c>
      <c r="B157" t="s">
        <v>326</v>
      </c>
      <c r="C157" s="4">
        <v>45897.583564814813</v>
      </c>
      <c r="E157">
        <v>3.53</v>
      </c>
      <c r="F157">
        <v>13.21</v>
      </c>
      <c r="H157" t="s">
        <v>263</v>
      </c>
      <c r="I157" s="25" t="s">
        <v>471</v>
      </c>
      <c r="J157" t="s">
        <v>99</v>
      </c>
    </row>
    <row r="158" spans="1:10" ht="75" x14ac:dyDescent="0.25">
      <c r="A158" t="s">
        <v>218</v>
      </c>
      <c r="B158" t="s">
        <v>219</v>
      </c>
      <c r="C158" s="4">
        <v>45897.583564814813</v>
      </c>
      <c r="E158">
        <v>0.16</v>
      </c>
      <c r="F158">
        <v>6.73</v>
      </c>
      <c r="H158" t="s">
        <v>263</v>
      </c>
      <c r="I158" s="25" t="s">
        <v>472</v>
      </c>
      <c r="J158" t="s">
        <v>99</v>
      </c>
    </row>
    <row r="159" spans="1:10" ht="30" x14ac:dyDescent="0.25">
      <c r="A159" t="s">
        <v>473</v>
      </c>
      <c r="B159" t="s">
        <v>474</v>
      </c>
      <c r="C159" s="4">
        <v>45897.586759259262</v>
      </c>
      <c r="E159">
        <v>5.55</v>
      </c>
      <c r="F159">
        <v>20.27</v>
      </c>
      <c r="H159" t="s">
        <v>90</v>
      </c>
      <c r="I159" s="25" t="s">
        <v>475</v>
      </c>
      <c r="J159" t="s">
        <v>99</v>
      </c>
    </row>
    <row r="160" spans="1:10" ht="30" x14ac:dyDescent="0.25">
      <c r="A160" t="s">
        <v>243</v>
      </c>
      <c r="B160" t="s">
        <v>244</v>
      </c>
      <c r="C160" s="4">
        <v>45897.612314814818</v>
      </c>
      <c r="E160">
        <v>4.97</v>
      </c>
      <c r="F160">
        <v>54.85</v>
      </c>
      <c r="H160" t="s">
        <v>90</v>
      </c>
      <c r="I160" s="25" t="s">
        <v>476</v>
      </c>
      <c r="J160" t="s">
        <v>99</v>
      </c>
    </row>
    <row r="161" spans="1:10" ht="30" x14ac:dyDescent="0.25">
      <c r="A161" t="s">
        <v>477</v>
      </c>
      <c r="B161" t="s">
        <v>478</v>
      </c>
      <c r="C161" s="4">
        <v>45898.583680555559</v>
      </c>
      <c r="E161">
        <v>5.37</v>
      </c>
      <c r="F161">
        <v>40.25</v>
      </c>
      <c r="H161" t="s">
        <v>90</v>
      </c>
      <c r="I161" s="25" t="s">
        <v>479</v>
      </c>
      <c r="J161" t="s">
        <v>99</v>
      </c>
    </row>
    <row r="162" spans="1:10" ht="30" x14ac:dyDescent="0.25">
      <c r="A162" t="s">
        <v>473</v>
      </c>
      <c r="B162" t="s">
        <v>474</v>
      </c>
      <c r="C162" s="4">
        <v>45898.607175925928</v>
      </c>
      <c r="E162">
        <v>8.92</v>
      </c>
      <c r="F162">
        <v>6.5</v>
      </c>
      <c r="H162" t="s">
        <v>90</v>
      </c>
      <c r="I162" s="25" t="s">
        <v>480</v>
      </c>
      <c r="J162" t="s">
        <v>99</v>
      </c>
    </row>
    <row r="163" spans="1:10" ht="30" x14ac:dyDescent="0.25">
      <c r="A163" t="s">
        <v>481</v>
      </c>
      <c r="B163" t="s">
        <v>482</v>
      </c>
      <c r="C163" s="4">
        <v>45898.589606481481</v>
      </c>
      <c r="E163">
        <v>7.23</v>
      </c>
      <c r="F163">
        <v>53.72</v>
      </c>
      <c r="H163" t="s">
        <v>90</v>
      </c>
      <c r="I163" s="25" t="s">
        <v>483</v>
      </c>
      <c r="J163" t="s">
        <v>99</v>
      </c>
    </row>
    <row r="164" spans="1:10" ht="75" x14ac:dyDescent="0.25">
      <c r="A164" t="s">
        <v>331</v>
      </c>
      <c r="B164" t="s">
        <v>332</v>
      </c>
      <c r="C164" s="4">
        <v>45902.583472222221</v>
      </c>
      <c r="E164">
        <v>1.35</v>
      </c>
      <c r="F164">
        <v>1.35</v>
      </c>
      <c r="H164" t="s">
        <v>121</v>
      </c>
      <c r="I164" s="25" t="s">
        <v>484</v>
      </c>
      <c r="J164" t="s">
        <v>99</v>
      </c>
    </row>
    <row r="165" spans="1:10" ht="30" x14ac:dyDescent="0.25">
      <c r="A165" t="s">
        <v>485</v>
      </c>
      <c r="B165" t="s">
        <v>486</v>
      </c>
      <c r="C165" s="4">
        <v>45902.600428240738</v>
      </c>
      <c r="E165">
        <v>8.86</v>
      </c>
      <c r="F165">
        <v>19.809999999999999</v>
      </c>
      <c r="H165" t="s">
        <v>102</v>
      </c>
      <c r="I165" s="25" t="s">
        <v>487</v>
      </c>
      <c r="J165" t="s">
        <v>99</v>
      </c>
    </row>
    <row r="166" spans="1:10" ht="30" x14ac:dyDescent="0.25">
      <c r="A166" t="s">
        <v>488</v>
      </c>
      <c r="B166" t="s">
        <v>489</v>
      </c>
      <c r="C166" s="4">
        <v>45903.584120370368</v>
      </c>
      <c r="E166">
        <v>8</v>
      </c>
      <c r="F166">
        <v>8.1</v>
      </c>
      <c r="H166" t="s">
        <v>263</v>
      </c>
      <c r="I166" s="25" t="s">
        <v>490</v>
      </c>
      <c r="J166" t="s">
        <v>99</v>
      </c>
    </row>
    <row r="167" spans="1:10" ht="30" x14ac:dyDescent="0.25">
      <c r="A167" t="s">
        <v>491</v>
      </c>
      <c r="B167" t="s">
        <v>492</v>
      </c>
      <c r="C167" s="4">
        <v>45903.58394675926</v>
      </c>
      <c r="E167">
        <v>12.74</v>
      </c>
      <c r="F167">
        <v>38.93</v>
      </c>
      <c r="H167" t="s">
        <v>102</v>
      </c>
      <c r="I167" s="25" t="s">
        <v>493</v>
      </c>
      <c r="J167" t="s">
        <v>99</v>
      </c>
    </row>
    <row r="168" spans="1:10" ht="75" x14ac:dyDescent="0.25">
      <c r="A168" t="s">
        <v>450</v>
      </c>
      <c r="B168" t="s">
        <v>451</v>
      </c>
      <c r="C168" s="4">
        <v>45903.583715277775</v>
      </c>
      <c r="E168">
        <v>0.46</v>
      </c>
      <c r="F168">
        <v>0.43</v>
      </c>
      <c r="I168" s="25" t="s">
        <v>494</v>
      </c>
      <c r="J168" t="s">
        <v>99</v>
      </c>
    </row>
    <row r="169" spans="1:10" ht="75" x14ac:dyDescent="0.25">
      <c r="A169" t="s">
        <v>495</v>
      </c>
      <c r="B169" t="s">
        <v>496</v>
      </c>
      <c r="C169" s="4">
        <v>45903.594375000001</v>
      </c>
      <c r="E169">
        <v>9.9499999999999993</v>
      </c>
      <c r="F169">
        <v>9.8800000000000008</v>
      </c>
      <c r="I169" s="25" t="s">
        <v>497</v>
      </c>
      <c r="J169" t="s">
        <v>99</v>
      </c>
    </row>
    <row r="170" spans="1:10" ht="30" x14ac:dyDescent="0.25">
      <c r="A170" t="s">
        <v>498</v>
      </c>
      <c r="B170" t="s">
        <v>499</v>
      </c>
      <c r="C170" s="4">
        <v>45903.329710648148</v>
      </c>
      <c r="E170">
        <v>0.23</v>
      </c>
      <c r="F170">
        <v>5.12</v>
      </c>
      <c r="H170" t="s">
        <v>263</v>
      </c>
      <c r="I170" s="25" t="s">
        <v>500</v>
      </c>
      <c r="J170" t="s">
        <v>99</v>
      </c>
    </row>
    <row r="171" spans="1:10" ht="30" x14ac:dyDescent="0.25">
      <c r="A171" t="s">
        <v>343</v>
      </c>
      <c r="B171" t="s">
        <v>341</v>
      </c>
      <c r="C171" s="4">
        <v>45903.597673611112</v>
      </c>
      <c r="E171">
        <v>4.67</v>
      </c>
      <c r="F171">
        <v>9.74</v>
      </c>
      <c r="H171" t="s">
        <v>102</v>
      </c>
      <c r="I171" s="25" t="s">
        <v>501</v>
      </c>
      <c r="J171" t="s">
        <v>99</v>
      </c>
    </row>
    <row r="172" spans="1:10" ht="30" x14ac:dyDescent="0.25">
      <c r="A172" t="s">
        <v>502</v>
      </c>
      <c r="B172" t="s">
        <v>503</v>
      </c>
      <c r="C172" s="4">
        <v>45903.589849537035</v>
      </c>
      <c r="E172">
        <v>6.08</v>
      </c>
      <c r="F172">
        <v>64.989999999999995</v>
      </c>
      <c r="H172" t="s">
        <v>102</v>
      </c>
      <c r="I172" s="25" t="s">
        <v>504</v>
      </c>
      <c r="J172" s="26" t="s">
        <v>129</v>
      </c>
    </row>
    <row r="173" spans="1:10" x14ac:dyDescent="0.25">
      <c r="A173" t="s">
        <v>505</v>
      </c>
      <c r="B173" t="s">
        <v>506</v>
      </c>
      <c r="C173" s="4">
        <v>45904.583819444444</v>
      </c>
      <c r="E173">
        <v>6.96</v>
      </c>
      <c r="F173">
        <v>6.96</v>
      </c>
      <c r="H173" t="s">
        <v>121</v>
      </c>
      <c r="I173" s="25" t="s">
        <v>507</v>
      </c>
      <c r="J173" t="s">
        <v>99</v>
      </c>
    </row>
    <row r="174" spans="1:10" x14ac:dyDescent="0.25">
      <c r="A174" t="s">
        <v>508</v>
      </c>
      <c r="B174" t="s">
        <v>509</v>
      </c>
      <c r="C174" s="4">
        <v>45904.583807870367</v>
      </c>
      <c r="E174">
        <v>3.18</v>
      </c>
      <c r="F174">
        <v>3.18</v>
      </c>
      <c r="H174" t="s">
        <v>111</v>
      </c>
      <c r="I174" s="25" t="s">
        <v>510</v>
      </c>
      <c r="J174" t="s">
        <v>99</v>
      </c>
    </row>
    <row r="175" spans="1:10" ht="30" x14ac:dyDescent="0.25">
      <c r="A175" t="s">
        <v>511</v>
      </c>
      <c r="B175" t="s">
        <v>512</v>
      </c>
      <c r="C175" s="4">
        <v>45904.584363425929</v>
      </c>
      <c r="E175">
        <v>0.11</v>
      </c>
      <c r="F175">
        <v>0.12</v>
      </c>
      <c r="H175" t="s">
        <v>121</v>
      </c>
      <c r="I175" s="25" t="s">
        <v>513</v>
      </c>
      <c r="J175" t="s">
        <v>99</v>
      </c>
    </row>
    <row r="176" spans="1:10" ht="75" x14ac:dyDescent="0.25">
      <c r="A176" t="s">
        <v>514</v>
      </c>
      <c r="B176" t="s">
        <v>515</v>
      </c>
      <c r="C176" s="4">
        <v>45904.585127314815</v>
      </c>
      <c r="E176">
        <v>13.73</v>
      </c>
      <c r="F176">
        <v>13.71</v>
      </c>
      <c r="H176" t="s">
        <v>121</v>
      </c>
      <c r="I176" s="25" t="s">
        <v>516</v>
      </c>
      <c r="J176" t="s">
        <v>99</v>
      </c>
    </row>
    <row r="177" spans="1:10" ht="75" x14ac:dyDescent="0.25">
      <c r="A177" t="s">
        <v>517</v>
      </c>
      <c r="B177" t="s">
        <v>518</v>
      </c>
      <c r="C177" s="4">
        <v>45904.586238425924</v>
      </c>
      <c r="E177">
        <v>4.62</v>
      </c>
      <c r="F177">
        <v>4.6100000000000003</v>
      </c>
      <c r="H177" t="s">
        <v>121</v>
      </c>
      <c r="I177" s="25" t="s">
        <v>519</v>
      </c>
      <c r="J177" t="s">
        <v>99</v>
      </c>
    </row>
    <row r="178" spans="1:10" ht="75" x14ac:dyDescent="0.25">
      <c r="A178" t="s">
        <v>514</v>
      </c>
      <c r="B178" t="s">
        <v>515</v>
      </c>
      <c r="C178" s="4">
        <v>45905.584097222221</v>
      </c>
      <c r="E178">
        <v>13.58</v>
      </c>
      <c r="F178">
        <v>13.58</v>
      </c>
      <c r="H178" t="s">
        <v>121</v>
      </c>
      <c r="I178" s="25" t="s">
        <v>520</v>
      </c>
      <c r="J178" t="s">
        <v>99</v>
      </c>
    </row>
    <row r="179" spans="1:10" ht="30" x14ac:dyDescent="0.25">
      <c r="A179" t="s">
        <v>521</v>
      </c>
      <c r="B179" t="s">
        <v>522</v>
      </c>
      <c r="C179" s="4">
        <v>45905.5862037037</v>
      </c>
      <c r="E179">
        <v>1.75</v>
      </c>
      <c r="F179">
        <v>1.96</v>
      </c>
      <c r="H179" t="s">
        <v>121</v>
      </c>
      <c r="I179" s="25" t="s">
        <v>523</v>
      </c>
      <c r="J179" t="s">
        <v>99</v>
      </c>
    </row>
    <row r="180" spans="1:10" ht="30" x14ac:dyDescent="0.25">
      <c r="A180" t="s">
        <v>524</v>
      </c>
      <c r="B180" t="s">
        <v>525</v>
      </c>
      <c r="C180" s="4">
        <v>45905.583761574075</v>
      </c>
      <c r="E180">
        <v>5.28</v>
      </c>
      <c r="F180">
        <v>88.88</v>
      </c>
      <c r="H180" t="s">
        <v>90</v>
      </c>
      <c r="I180" s="25" t="s">
        <v>526</v>
      </c>
      <c r="J180" t="s">
        <v>99</v>
      </c>
    </row>
    <row r="181" spans="1:10" ht="30" x14ac:dyDescent="0.25">
      <c r="A181" t="s">
        <v>527</v>
      </c>
      <c r="B181" t="s">
        <v>528</v>
      </c>
      <c r="C181" s="4">
        <v>45905.589780092596</v>
      </c>
      <c r="E181">
        <v>4.18</v>
      </c>
      <c r="F181">
        <v>102.66</v>
      </c>
      <c r="H181" t="s">
        <v>90</v>
      </c>
      <c r="I181" s="25" t="s">
        <v>529</v>
      </c>
      <c r="J181" t="s">
        <v>99</v>
      </c>
    </row>
    <row r="182" spans="1:10" ht="30" x14ac:dyDescent="0.25">
      <c r="A182" t="s">
        <v>351</v>
      </c>
      <c r="B182" t="s">
        <v>352</v>
      </c>
      <c r="C182" s="4">
        <v>45905.583692129629</v>
      </c>
      <c r="E182">
        <v>0.31</v>
      </c>
      <c r="F182">
        <v>0.25</v>
      </c>
      <c r="H182" t="s">
        <v>102</v>
      </c>
      <c r="I182" s="25" t="s">
        <v>530</v>
      </c>
      <c r="J182" t="s">
        <v>99</v>
      </c>
    </row>
    <row r="183" spans="1:10" ht="30" x14ac:dyDescent="0.25">
      <c r="A183" t="s">
        <v>215</v>
      </c>
      <c r="B183" t="s">
        <v>216</v>
      </c>
      <c r="C183" s="4">
        <v>45905.583541666667</v>
      </c>
      <c r="E183">
        <v>4.13</v>
      </c>
      <c r="F183">
        <v>4.26</v>
      </c>
      <c r="H183" t="s">
        <v>121</v>
      </c>
      <c r="I183" s="25" t="s">
        <v>531</v>
      </c>
      <c r="J183" t="s">
        <v>99</v>
      </c>
    </row>
    <row r="184" spans="1:10" ht="30" x14ac:dyDescent="0.25">
      <c r="A184" t="s">
        <v>532</v>
      </c>
      <c r="B184" t="s">
        <v>533</v>
      </c>
      <c r="C184" s="4">
        <v>45908.583634259259</v>
      </c>
      <c r="E184">
        <v>6.54</v>
      </c>
      <c r="F184">
        <v>6.54</v>
      </c>
      <c r="H184" t="s">
        <v>121</v>
      </c>
      <c r="I184" s="25" t="s">
        <v>534</v>
      </c>
      <c r="J184" t="s">
        <v>99</v>
      </c>
    </row>
    <row r="185" spans="1:10" ht="30" x14ac:dyDescent="0.25">
      <c r="A185" t="s">
        <v>535</v>
      </c>
      <c r="B185" t="s">
        <v>536</v>
      </c>
      <c r="C185" s="4">
        <v>45908.583506944444</v>
      </c>
      <c r="E185">
        <v>9.0500000000000007</v>
      </c>
      <c r="F185">
        <v>17.72</v>
      </c>
      <c r="H185" t="s">
        <v>102</v>
      </c>
      <c r="I185" s="25" t="s">
        <v>537</v>
      </c>
      <c r="J185" t="s">
        <v>99</v>
      </c>
    </row>
    <row r="186" spans="1:10" ht="75" x14ac:dyDescent="0.25">
      <c r="A186" t="s">
        <v>514</v>
      </c>
      <c r="B186" t="s">
        <v>515</v>
      </c>
      <c r="C186" s="4">
        <v>45908.583958333336</v>
      </c>
      <c r="E186">
        <v>10.67</v>
      </c>
      <c r="F186">
        <v>15.61</v>
      </c>
      <c r="H186" t="s">
        <v>263</v>
      </c>
      <c r="I186" s="25" t="s">
        <v>538</v>
      </c>
      <c r="J186" t="s">
        <v>99</v>
      </c>
    </row>
    <row r="187" spans="1:10" ht="30" x14ac:dyDescent="0.25">
      <c r="A187" t="s">
        <v>375</v>
      </c>
      <c r="B187" t="s">
        <v>376</v>
      </c>
      <c r="C187" s="4">
        <v>45908.583668981482</v>
      </c>
      <c r="E187">
        <v>14.03</v>
      </c>
      <c r="F187">
        <v>14.03</v>
      </c>
      <c r="H187" t="s">
        <v>121</v>
      </c>
      <c r="I187" s="25" t="s">
        <v>539</v>
      </c>
      <c r="J187" t="s">
        <v>99</v>
      </c>
    </row>
    <row r="188" spans="1:10" ht="30" x14ac:dyDescent="0.25">
      <c r="A188" t="s">
        <v>540</v>
      </c>
      <c r="B188" t="s">
        <v>541</v>
      </c>
      <c r="C188" s="4">
        <v>45908.595127314817</v>
      </c>
      <c r="E188">
        <v>2.62</v>
      </c>
      <c r="F188">
        <v>3.21</v>
      </c>
      <c r="H188" t="s">
        <v>102</v>
      </c>
      <c r="I188" s="25" t="s">
        <v>542</v>
      </c>
      <c r="J188" t="s">
        <v>99</v>
      </c>
    </row>
    <row r="189" spans="1:10" ht="30" x14ac:dyDescent="0.25">
      <c r="A189" t="s">
        <v>543</v>
      </c>
      <c r="B189" t="s">
        <v>544</v>
      </c>
      <c r="C189" s="4">
        <v>45908.584699074076</v>
      </c>
      <c r="E189">
        <v>0.31</v>
      </c>
      <c r="F189">
        <v>0.01</v>
      </c>
      <c r="H189" t="s">
        <v>121</v>
      </c>
      <c r="I189" s="25" t="s">
        <v>545</v>
      </c>
      <c r="J189" t="s">
        <v>99</v>
      </c>
    </row>
    <row r="190" spans="1:10" ht="30" x14ac:dyDescent="0.25">
      <c r="A190" t="s">
        <v>546</v>
      </c>
      <c r="B190" t="s">
        <v>547</v>
      </c>
      <c r="C190" s="4">
        <v>45908.605416666665</v>
      </c>
      <c r="E190">
        <v>0.33</v>
      </c>
      <c r="F190">
        <v>0.34</v>
      </c>
      <c r="H190" t="s">
        <v>121</v>
      </c>
      <c r="I190" s="25" t="s">
        <v>548</v>
      </c>
      <c r="J190" t="s">
        <v>99</v>
      </c>
    </row>
    <row r="191" spans="1:10" ht="30" x14ac:dyDescent="0.25">
      <c r="A191" t="s">
        <v>521</v>
      </c>
      <c r="B191" t="s">
        <v>522</v>
      </c>
      <c r="C191" s="4">
        <v>45908.583657407406</v>
      </c>
      <c r="E191">
        <v>0.42</v>
      </c>
      <c r="F191">
        <v>0.41</v>
      </c>
      <c r="H191" t="s">
        <v>121</v>
      </c>
      <c r="I191" s="25" t="s">
        <v>549</v>
      </c>
      <c r="J191" t="s">
        <v>99</v>
      </c>
    </row>
    <row r="192" spans="1:10" ht="30" x14ac:dyDescent="0.25">
      <c r="A192" t="s">
        <v>550</v>
      </c>
      <c r="B192" t="s">
        <v>551</v>
      </c>
      <c r="C192" s="4">
        <v>45908.587083333332</v>
      </c>
      <c r="E192">
        <v>12.65</v>
      </c>
      <c r="F192">
        <v>29.93</v>
      </c>
      <c r="H192" t="s">
        <v>121</v>
      </c>
      <c r="I192" s="25" t="s">
        <v>552</v>
      </c>
      <c r="J192" s="26" t="s">
        <v>129</v>
      </c>
    </row>
    <row r="193" spans="1:10" ht="30" x14ac:dyDescent="0.25">
      <c r="A193" t="s">
        <v>276</v>
      </c>
      <c r="B193" t="s">
        <v>277</v>
      </c>
      <c r="C193" s="4">
        <v>45908.583541666667</v>
      </c>
      <c r="E193">
        <v>0.21</v>
      </c>
      <c r="F193">
        <v>0.37</v>
      </c>
      <c r="H193" t="s">
        <v>121</v>
      </c>
      <c r="I193" s="25" t="s">
        <v>553</v>
      </c>
      <c r="J193" t="s">
        <v>99</v>
      </c>
    </row>
    <row r="194" spans="1:10" ht="30" x14ac:dyDescent="0.25">
      <c r="A194" t="s">
        <v>554</v>
      </c>
      <c r="B194" t="s">
        <v>555</v>
      </c>
      <c r="C194" s="4">
        <v>45908.58861111111</v>
      </c>
      <c r="E194">
        <v>3.02</v>
      </c>
      <c r="F194">
        <v>119.13</v>
      </c>
      <c r="H194" t="s">
        <v>102</v>
      </c>
      <c r="I194" s="25" t="s">
        <v>556</v>
      </c>
      <c r="J194" t="s">
        <v>99</v>
      </c>
    </row>
    <row r="195" spans="1:10" ht="75" x14ac:dyDescent="0.25">
      <c r="A195" t="s">
        <v>331</v>
      </c>
      <c r="B195" t="s">
        <v>332</v>
      </c>
      <c r="C195" s="4">
        <v>45909.583622685182</v>
      </c>
      <c r="E195">
        <v>0.39</v>
      </c>
      <c r="F195">
        <v>0.39</v>
      </c>
      <c r="H195" t="s">
        <v>121</v>
      </c>
      <c r="I195" s="25" t="s">
        <v>484</v>
      </c>
      <c r="J195" t="s">
        <v>99</v>
      </c>
    </row>
    <row r="196" spans="1:10" x14ac:dyDescent="0.25">
      <c r="A196" t="s">
        <v>557</v>
      </c>
      <c r="B196" t="s">
        <v>558</v>
      </c>
      <c r="C196" s="4">
        <v>45909.585381944446</v>
      </c>
      <c r="E196">
        <v>2.0299999999999998</v>
      </c>
      <c r="F196">
        <v>2.04</v>
      </c>
      <c r="H196" t="s">
        <v>121</v>
      </c>
      <c r="I196" s="25" t="s">
        <v>559</v>
      </c>
      <c r="J196" t="s">
        <v>99</v>
      </c>
    </row>
    <row r="197" spans="1:10" ht="30" x14ac:dyDescent="0.25">
      <c r="A197" t="s">
        <v>540</v>
      </c>
      <c r="B197" t="s">
        <v>541</v>
      </c>
      <c r="C197" s="4">
        <v>45909.583807870367</v>
      </c>
      <c r="E197">
        <v>2.82</v>
      </c>
      <c r="F197">
        <v>3.48</v>
      </c>
      <c r="H197" t="s">
        <v>121</v>
      </c>
      <c r="I197" s="25" t="s">
        <v>560</v>
      </c>
      <c r="J197" t="s">
        <v>99</v>
      </c>
    </row>
    <row r="198" spans="1:10" ht="30" x14ac:dyDescent="0.25">
      <c r="A198" t="s">
        <v>19</v>
      </c>
      <c r="B198" t="s">
        <v>561</v>
      </c>
      <c r="C198" s="4">
        <v>45909.586747685185</v>
      </c>
      <c r="E198">
        <v>2.88</v>
      </c>
      <c r="F198">
        <v>17.760000000000002</v>
      </c>
      <c r="H198" t="s">
        <v>263</v>
      </c>
      <c r="I198" s="25" t="s">
        <v>562</v>
      </c>
      <c r="J198" t="s">
        <v>99</v>
      </c>
    </row>
    <row r="199" spans="1:10" ht="30" x14ac:dyDescent="0.25">
      <c r="A199" t="s">
        <v>563</v>
      </c>
      <c r="B199" t="s">
        <v>564</v>
      </c>
      <c r="C199" s="4">
        <v>45909.583645833336</v>
      </c>
      <c r="E199">
        <v>3.16</v>
      </c>
      <c r="F199">
        <v>16.190000000000001</v>
      </c>
      <c r="H199" t="s">
        <v>102</v>
      </c>
      <c r="I199" s="25" t="s">
        <v>565</v>
      </c>
      <c r="J199" t="s">
        <v>99</v>
      </c>
    </row>
    <row r="200" spans="1:10" ht="30" x14ac:dyDescent="0.25">
      <c r="A200" t="s">
        <v>521</v>
      </c>
      <c r="B200" t="s">
        <v>522</v>
      </c>
      <c r="C200" s="4">
        <v>45909.583587962959</v>
      </c>
      <c r="E200">
        <v>0.88</v>
      </c>
      <c r="F200">
        <v>0.87</v>
      </c>
      <c r="H200" t="s">
        <v>121</v>
      </c>
      <c r="I200" s="25" t="s">
        <v>566</v>
      </c>
      <c r="J200" t="s">
        <v>99</v>
      </c>
    </row>
    <row r="201" spans="1:10" ht="30" x14ac:dyDescent="0.25">
      <c r="A201" t="s">
        <v>567</v>
      </c>
      <c r="B201" t="s">
        <v>568</v>
      </c>
      <c r="C201" s="4">
        <v>45909.589942129627</v>
      </c>
      <c r="E201">
        <v>6.38</v>
      </c>
      <c r="F201">
        <v>15.36</v>
      </c>
      <c r="H201" t="s">
        <v>263</v>
      </c>
      <c r="I201" s="25" t="s">
        <v>569</v>
      </c>
      <c r="J201" t="s">
        <v>99</v>
      </c>
    </row>
    <row r="202" spans="1:10" ht="30" x14ac:dyDescent="0.25">
      <c r="A202" t="s">
        <v>570</v>
      </c>
      <c r="B202" t="s">
        <v>571</v>
      </c>
      <c r="C202" s="4">
        <v>45909.590682870374</v>
      </c>
      <c r="E202">
        <v>6.66</v>
      </c>
      <c r="F202">
        <v>18.7</v>
      </c>
      <c r="H202" t="s">
        <v>90</v>
      </c>
      <c r="I202" s="25" t="s">
        <v>572</v>
      </c>
      <c r="J202" t="s">
        <v>99</v>
      </c>
    </row>
    <row r="203" spans="1:10" ht="30" x14ac:dyDescent="0.25">
      <c r="A203" t="s">
        <v>573</v>
      </c>
      <c r="B203" t="s">
        <v>574</v>
      </c>
      <c r="C203" s="4">
        <v>45909.595601851855</v>
      </c>
      <c r="E203">
        <v>7.2</v>
      </c>
      <c r="F203">
        <v>7.2</v>
      </c>
      <c r="H203" t="s">
        <v>121</v>
      </c>
      <c r="I203" s="25" t="s">
        <v>575</v>
      </c>
      <c r="J203" t="s">
        <v>99</v>
      </c>
    </row>
    <row r="204" spans="1:10" ht="30" x14ac:dyDescent="0.25">
      <c r="A204" t="s">
        <v>576</v>
      </c>
      <c r="B204" t="s">
        <v>577</v>
      </c>
      <c r="C204" s="4">
        <v>45909.597407407404</v>
      </c>
      <c r="E204">
        <v>17.84</v>
      </c>
      <c r="F204">
        <v>17.87</v>
      </c>
      <c r="H204" t="s">
        <v>121</v>
      </c>
      <c r="I204" s="25" t="s">
        <v>578</v>
      </c>
      <c r="J204" t="s">
        <v>99</v>
      </c>
    </row>
    <row r="205" spans="1:10" ht="30" x14ac:dyDescent="0.25">
      <c r="A205" t="s">
        <v>579</v>
      </c>
      <c r="B205" t="s">
        <v>580</v>
      </c>
      <c r="C205" s="4">
        <v>45909.61446759259</v>
      </c>
      <c r="E205">
        <v>3.93</v>
      </c>
      <c r="F205">
        <v>37.159999999999997</v>
      </c>
      <c r="H205" t="s">
        <v>200</v>
      </c>
      <c r="I205" s="25" t="s">
        <v>581</v>
      </c>
      <c r="J205" t="s">
        <v>99</v>
      </c>
    </row>
    <row r="259" spans="1:2" x14ac:dyDescent="0.25">
      <c r="A259" t="s">
        <v>436</v>
      </c>
      <c r="B259">
        <f>COUNTA(A2:A152)</f>
        <v>151</v>
      </c>
    </row>
    <row r="260" spans="1:2" x14ac:dyDescent="0.25">
      <c r="A260" t="s">
        <v>439</v>
      </c>
      <c r="B260">
        <f>COUNTIF(F:F,"&gt;=15")</f>
        <v>75</v>
      </c>
    </row>
    <row r="261" spans="1:2" x14ac:dyDescent="0.25">
      <c r="A261" t="s">
        <v>434</v>
      </c>
      <c r="B261">
        <f>COUNTIF(F:F,"&lt;15")</f>
        <v>129</v>
      </c>
    </row>
    <row r="263" spans="1:2" x14ac:dyDescent="0.25">
      <c r="A263" t="s">
        <v>435</v>
      </c>
      <c r="B263">
        <f>COUNTIF(H:H,"=No user action")</f>
        <v>70</v>
      </c>
    </row>
    <row r="264" spans="1:2" x14ac:dyDescent="0.25">
      <c r="A264" t="s">
        <v>437</v>
      </c>
      <c r="B264">
        <f>COUNTIFS(F:F, "&lt;15",H:H,"=No user action")</f>
        <v>67</v>
      </c>
    </row>
    <row r="265" spans="1:2" x14ac:dyDescent="0.25">
      <c r="A265" t="s">
        <v>438</v>
      </c>
      <c r="B265">
        <f>COUNTIFS(F:F, "&gt;=15",H:H,"=No user action")</f>
        <v>3</v>
      </c>
    </row>
  </sheetData>
  <autoFilter ref="H1:J145" xr:uid="{F56AA0F0-F035-421A-AC85-E52A07C3A5E0}"/>
  <sortState xmlns:xlrd2="http://schemas.microsoft.com/office/spreadsheetml/2017/richdata2" ref="A2:J145">
    <sortCondition ref="C1:C14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1C703-7DDA-4F55-9A38-C56615564E74}">
  <dimension ref="A1:J36"/>
  <sheetViews>
    <sheetView topLeftCell="A28" workbookViewId="0">
      <selection sqref="A1:J1"/>
    </sheetView>
  </sheetViews>
  <sheetFormatPr defaultRowHeight="15" x14ac:dyDescent="0.25"/>
  <cols>
    <col min="1" max="1" width="23.85546875" customWidth="1"/>
    <col min="2" max="4" width="35.5703125" customWidth="1"/>
    <col min="5" max="5" width="15.28515625" customWidth="1"/>
    <col min="6" max="6" width="30.28515625" customWidth="1"/>
    <col min="7" max="7" width="28.28515625" customWidth="1"/>
    <col min="8" max="8" width="17" customWidth="1"/>
    <col min="9" max="9" width="19.5703125" customWidth="1"/>
    <col min="10" max="10" width="32.28515625" customWidth="1"/>
  </cols>
  <sheetData>
    <row r="1" spans="1:10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39</v>
      </c>
      <c r="I1" s="3" t="s">
        <v>40</v>
      </c>
      <c r="J1" s="3" t="s">
        <v>37</v>
      </c>
    </row>
    <row r="2" spans="1:10" x14ac:dyDescent="0.25">
      <c r="A2" s="1" t="s">
        <v>7</v>
      </c>
      <c r="B2" s="1" t="s">
        <v>8</v>
      </c>
      <c r="C2" s="1" t="s">
        <v>9</v>
      </c>
      <c r="D2" s="1" t="s">
        <v>10</v>
      </c>
      <c r="E2">
        <v>10008</v>
      </c>
      <c r="F2" s="1" t="s">
        <v>11</v>
      </c>
      <c r="G2" s="5">
        <v>45820.751562500001</v>
      </c>
    </row>
    <row r="3" spans="1:10" x14ac:dyDescent="0.25">
      <c r="A3" s="8" t="s">
        <v>12</v>
      </c>
      <c r="B3" s="1" t="s">
        <v>13</v>
      </c>
      <c r="C3" s="1" t="s">
        <v>9</v>
      </c>
      <c r="D3" s="1" t="s">
        <v>14</v>
      </c>
      <c r="E3" s="6">
        <v>10006</v>
      </c>
      <c r="F3" s="2" t="s">
        <v>15</v>
      </c>
      <c r="G3" s="5">
        <v>45820.751446759263</v>
      </c>
    </row>
    <row r="4" spans="1:10" x14ac:dyDescent="0.25">
      <c r="A4" s="7" t="s">
        <v>16</v>
      </c>
      <c r="B4" s="1" t="s">
        <v>17</v>
      </c>
      <c r="C4" s="1" t="s">
        <v>9</v>
      </c>
      <c r="D4" s="1" t="s">
        <v>18</v>
      </c>
      <c r="E4">
        <v>10002</v>
      </c>
      <c r="G4" s="4">
        <v>45820.4609375</v>
      </c>
    </row>
    <row r="5" spans="1:10" x14ac:dyDescent="0.25">
      <c r="A5" s="7" t="s">
        <v>19</v>
      </c>
      <c r="B5" s="1" t="s">
        <v>20</v>
      </c>
      <c r="C5" s="1" t="s">
        <v>9</v>
      </c>
      <c r="D5" s="1" t="s">
        <v>21</v>
      </c>
      <c r="E5" s="2">
        <v>10005</v>
      </c>
      <c r="F5" s="2" t="s">
        <v>22</v>
      </c>
      <c r="G5" s="5">
        <v>45820.754664351851</v>
      </c>
    </row>
    <row r="6" spans="1:10" x14ac:dyDescent="0.25">
      <c r="A6" s="1" t="s">
        <v>23</v>
      </c>
      <c r="B6" s="1" t="s">
        <v>24</v>
      </c>
      <c r="C6" s="1" t="s">
        <v>9</v>
      </c>
      <c r="D6" s="1" t="s">
        <v>21</v>
      </c>
      <c r="E6">
        <v>10005</v>
      </c>
      <c r="F6" s="2" t="s">
        <v>22</v>
      </c>
      <c r="G6" s="4">
        <v>45820.782673611109</v>
      </c>
    </row>
    <row r="7" spans="1:10" x14ac:dyDescent="0.25">
      <c r="A7" s="10" t="s">
        <v>25</v>
      </c>
      <c r="B7" s="1" t="s">
        <v>26</v>
      </c>
      <c r="C7" s="1" t="s">
        <v>9</v>
      </c>
    </row>
    <row r="8" spans="1:10" x14ac:dyDescent="0.25">
      <c r="A8" s="1" t="s">
        <v>27</v>
      </c>
      <c r="B8" s="1" t="s">
        <v>28</v>
      </c>
      <c r="C8" s="1" t="s">
        <v>9</v>
      </c>
      <c r="D8" s="1" t="s">
        <v>10</v>
      </c>
      <c r="E8">
        <v>10008</v>
      </c>
      <c r="F8" s="1" t="s">
        <v>11</v>
      </c>
      <c r="G8" s="5">
        <v>45820.757453703707</v>
      </c>
    </row>
    <row r="9" spans="1:10" x14ac:dyDescent="0.25">
      <c r="A9" s="1" t="s">
        <v>29</v>
      </c>
      <c r="B9" s="1" t="s">
        <v>30</v>
      </c>
      <c r="C9" s="1" t="s">
        <v>9</v>
      </c>
      <c r="D9" s="1" t="s">
        <v>10</v>
      </c>
      <c r="E9">
        <v>10008</v>
      </c>
      <c r="F9" s="1" t="s">
        <v>11</v>
      </c>
      <c r="G9" s="5">
        <v>45820.779282407406</v>
      </c>
    </row>
    <row r="10" spans="1:10" x14ac:dyDescent="0.25">
      <c r="A10" s="1" t="s">
        <v>31</v>
      </c>
      <c r="B10" s="1" t="s">
        <v>32</v>
      </c>
      <c r="C10" s="1" t="s">
        <v>9</v>
      </c>
      <c r="D10" s="1" t="s">
        <v>10</v>
      </c>
      <c r="E10">
        <v>10008</v>
      </c>
      <c r="F10" s="1" t="s">
        <v>11</v>
      </c>
      <c r="G10" s="5">
        <v>45820.751620370371</v>
      </c>
    </row>
    <row r="11" spans="1:10" x14ac:dyDescent="0.25">
      <c r="A11" s="1" t="s">
        <v>33</v>
      </c>
      <c r="B11" s="1" t="s">
        <v>34</v>
      </c>
      <c r="C11" s="1" t="s">
        <v>9</v>
      </c>
      <c r="D11" s="1" t="s">
        <v>21</v>
      </c>
      <c r="E11" s="2">
        <v>10005</v>
      </c>
      <c r="F11" s="2" t="s">
        <v>22</v>
      </c>
      <c r="G11" s="5">
        <v>45820.75104166667</v>
      </c>
    </row>
    <row r="13" spans="1:10" x14ac:dyDescent="0.25">
      <c r="A13" s="9" t="s">
        <v>35</v>
      </c>
    </row>
    <row r="14" spans="1:10" x14ac:dyDescent="0.25">
      <c r="A14" s="1" t="s">
        <v>19</v>
      </c>
      <c r="B14" s="1" t="s">
        <v>20</v>
      </c>
      <c r="C14" s="1" t="s">
        <v>36</v>
      </c>
      <c r="D14" s="1" t="s">
        <v>10</v>
      </c>
      <c r="E14">
        <v>10008</v>
      </c>
      <c r="F14" s="1" t="s">
        <v>11</v>
      </c>
      <c r="G14" s="4">
        <v>45824.751516203702</v>
      </c>
      <c r="H14" s="1"/>
      <c r="I14" s="1"/>
      <c r="J14" t="s">
        <v>43</v>
      </c>
    </row>
    <row r="15" spans="1:10" x14ac:dyDescent="0.25">
      <c r="A15" s="1" t="s">
        <v>27</v>
      </c>
      <c r="B15" s="1" t="s">
        <v>28</v>
      </c>
      <c r="C15" s="1" t="s">
        <v>36</v>
      </c>
      <c r="D15" s="1" t="s">
        <v>10</v>
      </c>
      <c r="E15">
        <v>10008</v>
      </c>
      <c r="F15" s="1" t="s">
        <v>11</v>
      </c>
      <c r="G15" s="5">
        <v>45824.755624999998</v>
      </c>
      <c r="H15" t="s">
        <v>41</v>
      </c>
      <c r="I15" t="s">
        <v>38</v>
      </c>
      <c r="J15" t="s">
        <v>42</v>
      </c>
    </row>
    <row r="16" spans="1:10" x14ac:dyDescent="0.25">
      <c r="A16" s="1" t="s">
        <v>23</v>
      </c>
      <c r="B16" s="1" t="s">
        <v>24</v>
      </c>
      <c r="C16" s="1" t="s">
        <v>9</v>
      </c>
      <c r="D16" s="1" t="s">
        <v>14</v>
      </c>
    </row>
    <row r="17" spans="1:10" x14ac:dyDescent="0.25">
      <c r="A17" s="1" t="s">
        <v>29</v>
      </c>
      <c r="B17" s="1" t="s">
        <v>30</v>
      </c>
      <c r="C17" s="1" t="s">
        <v>9</v>
      </c>
      <c r="D17" s="1" t="s">
        <v>14</v>
      </c>
    </row>
    <row r="18" spans="1:10" x14ac:dyDescent="0.25">
      <c r="A18" s="1" t="s">
        <v>31</v>
      </c>
      <c r="B18" s="1" t="s">
        <v>32</v>
      </c>
      <c r="C18" s="1" t="s">
        <v>9</v>
      </c>
      <c r="D18" s="1" t="s">
        <v>18</v>
      </c>
      <c r="E18">
        <v>10002</v>
      </c>
    </row>
    <row r="19" spans="1:10" x14ac:dyDescent="0.25">
      <c r="A19" s="10" t="s">
        <v>12</v>
      </c>
      <c r="B19" s="1" t="s">
        <v>13</v>
      </c>
      <c r="C19" s="1" t="s">
        <v>9</v>
      </c>
      <c r="D19" s="1" t="s">
        <v>18</v>
      </c>
      <c r="E19">
        <v>10002</v>
      </c>
    </row>
    <row r="20" spans="1:10" x14ac:dyDescent="0.25">
      <c r="A20" s="8" t="s">
        <v>25</v>
      </c>
      <c r="B20" s="1" t="s">
        <v>26</v>
      </c>
      <c r="C20" s="1" t="s">
        <v>9</v>
      </c>
      <c r="D20" s="1" t="s">
        <v>18</v>
      </c>
      <c r="E20">
        <v>10002</v>
      </c>
    </row>
    <row r="22" spans="1:10" x14ac:dyDescent="0.25">
      <c r="A22" s="3" t="s">
        <v>44</v>
      </c>
    </row>
    <row r="23" spans="1:10" ht="15.75" thickBot="1" x14ac:dyDescent="0.3">
      <c r="A23" s="11" t="s">
        <v>31</v>
      </c>
      <c r="B23" s="13" t="s">
        <v>45</v>
      </c>
      <c r="C23" s="1" t="s">
        <v>9</v>
      </c>
      <c r="E23" s="6">
        <v>10006</v>
      </c>
      <c r="F23" s="2" t="s">
        <v>15</v>
      </c>
      <c r="H23" t="s">
        <v>56</v>
      </c>
      <c r="J23" t="s">
        <v>46</v>
      </c>
    </row>
    <row r="24" spans="1:10" ht="15.75" thickBot="1" x14ac:dyDescent="0.3">
      <c r="A24" s="14" t="s">
        <v>29</v>
      </c>
      <c r="B24" s="15" t="s">
        <v>47</v>
      </c>
      <c r="C24" s="1" t="s">
        <v>9</v>
      </c>
      <c r="E24" s="6">
        <v>10006</v>
      </c>
      <c r="F24" s="2" t="s">
        <v>15</v>
      </c>
      <c r="H24" t="s">
        <v>57</v>
      </c>
      <c r="J24" t="s">
        <v>58</v>
      </c>
    </row>
    <row r="25" spans="1:10" ht="15.75" thickBot="1" x14ac:dyDescent="0.3">
      <c r="A25" s="7" t="s">
        <v>16</v>
      </c>
      <c r="B25" s="1" t="s">
        <v>17</v>
      </c>
      <c r="C25" s="1" t="s">
        <v>9</v>
      </c>
      <c r="E25" s="2">
        <v>10045</v>
      </c>
      <c r="F25" s="2" t="s">
        <v>48</v>
      </c>
      <c r="G25" s="16">
        <v>45824.755196759259</v>
      </c>
      <c r="H25" s="12"/>
    </row>
    <row r="26" spans="1:10" x14ac:dyDescent="0.25">
      <c r="A26" s="1" t="s">
        <v>33</v>
      </c>
      <c r="B26" s="1" t="s">
        <v>34</v>
      </c>
      <c r="C26" s="1" t="s">
        <v>9</v>
      </c>
      <c r="E26">
        <v>10072</v>
      </c>
      <c r="F26" s="2" t="s">
        <v>49</v>
      </c>
      <c r="G26" s="17">
        <v>45824.833657407406</v>
      </c>
      <c r="J26" t="s">
        <v>50</v>
      </c>
    </row>
    <row r="27" spans="1:10" ht="15.75" thickBot="1" x14ac:dyDescent="0.3">
      <c r="A27" s="11" t="s">
        <v>7</v>
      </c>
      <c r="B27" s="1" t="s">
        <v>8</v>
      </c>
      <c r="C27" s="1" t="s">
        <v>9</v>
      </c>
      <c r="E27">
        <v>10005</v>
      </c>
      <c r="F27" s="2" t="s">
        <v>22</v>
      </c>
      <c r="G27" s="17">
        <v>45824.750717592593</v>
      </c>
      <c r="J27" t="s">
        <v>51</v>
      </c>
    </row>
    <row r="28" spans="1:10" x14ac:dyDescent="0.25">
      <c r="A28" s="1" t="s">
        <v>23</v>
      </c>
      <c r="B28" s="1" t="s">
        <v>24</v>
      </c>
      <c r="C28" s="1" t="s">
        <v>9</v>
      </c>
      <c r="D28" s="1" t="s">
        <v>10</v>
      </c>
      <c r="E28">
        <v>10008</v>
      </c>
      <c r="F28" s="1" t="s">
        <v>11</v>
      </c>
      <c r="G28" s="5">
        <v>45825.779328703706</v>
      </c>
      <c r="J28" t="s">
        <v>52</v>
      </c>
    </row>
    <row r="29" spans="1:10" x14ac:dyDescent="0.25">
      <c r="A29" s="1" t="s">
        <v>19</v>
      </c>
      <c r="B29" s="1" t="s">
        <v>20</v>
      </c>
      <c r="C29" s="1" t="s">
        <v>36</v>
      </c>
      <c r="D29" s="1" t="s">
        <v>10</v>
      </c>
      <c r="E29">
        <v>10008</v>
      </c>
      <c r="F29" s="1" t="s">
        <v>11</v>
      </c>
      <c r="G29" s="4">
        <v>45824.751516203702</v>
      </c>
      <c r="H29" s="1"/>
      <c r="I29" s="1"/>
      <c r="J29" t="s">
        <v>43</v>
      </c>
    </row>
    <row r="30" spans="1:10" x14ac:dyDescent="0.25">
      <c r="A30" s="1" t="s">
        <v>27</v>
      </c>
      <c r="B30" s="1" t="s">
        <v>28</v>
      </c>
      <c r="C30" s="1" t="s">
        <v>36</v>
      </c>
      <c r="D30" s="1" t="s">
        <v>10</v>
      </c>
      <c r="E30">
        <v>10008</v>
      </c>
      <c r="F30" s="1" t="s">
        <v>11</v>
      </c>
      <c r="G30" s="5">
        <v>45824.755624999998</v>
      </c>
      <c r="H30" t="s">
        <v>41</v>
      </c>
      <c r="I30" t="s">
        <v>38</v>
      </c>
      <c r="J30" t="s">
        <v>42</v>
      </c>
    </row>
    <row r="31" spans="1:10" x14ac:dyDescent="0.25">
      <c r="A31" s="8" t="s">
        <v>12</v>
      </c>
      <c r="B31" s="1" t="s">
        <v>13</v>
      </c>
      <c r="C31" s="1" t="s">
        <v>9</v>
      </c>
      <c r="D31" s="1" t="s">
        <v>55</v>
      </c>
      <c r="E31">
        <v>10002</v>
      </c>
      <c r="F31" s="1" t="s">
        <v>18</v>
      </c>
      <c r="G31" s="4">
        <v>45824.789236111108</v>
      </c>
      <c r="J31" t="s">
        <v>54</v>
      </c>
    </row>
    <row r="32" spans="1:10" x14ac:dyDescent="0.25">
      <c r="A32" s="10" t="s">
        <v>25</v>
      </c>
      <c r="B32" s="1" t="s">
        <v>26</v>
      </c>
      <c r="C32" s="1" t="s">
        <v>9</v>
      </c>
      <c r="J32" t="s">
        <v>53</v>
      </c>
    </row>
    <row r="34" spans="1:10" x14ac:dyDescent="0.25">
      <c r="A34" s="3" t="s">
        <v>59</v>
      </c>
    </row>
    <row r="35" spans="1:10" x14ac:dyDescent="0.25">
      <c r="A35" t="s">
        <v>60</v>
      </c>
      <c r="B35" s="1" t="s">
        <v>61</v>
      </c>
      <c r="C35" s="1" t="s">
        <v>36</v>
      </c>
      <c r="H35" t="s">
        <v>62</v>
      </c>
      <c r="I35" t="s">
        <v>63</v>
      </c>
      <c r="J35" t="s">
        <v>64</v>
      </c>
    </row>
    <row r="36" spans="1:10" x14ac:dyDescent="0.25">
      <c r="A36" t="s">
        <v>66</v>
      </c>
      <c r="B36" s="1" t="s">
        <v>65</v>
      </c>
      <c r="C36" s="1" t="s">
        <v>36</v>
      </c>
      <c r="J36" t="s">
        <v>67</v>
      </c>
    </row>
  </sheetData>
  <hyperlinks>
    <hyperlink ref="A23" r:id="rId1" display="https://nlitgccmfe9.emea.loreal.intra/ReportServer/Pages/ReportViewer.aspx?%2fConfigMgr_LOR%2fSoftware+Distribution+-+Package+and+Program+Deployment+Status%2fStatus+of+a+specified+package+and+program+deployment&amp;rc%3ashowbackbutton=true" xr:uid="{61A81EC5-B196-4922-80F1-6DB975816650}"/>
    <hyperlink ref="A24" r:id="rId2" display="https://nlitgccmfe9.emea.loreal.intra/ReportServer/Pages/ReportViewer.aspx?%2fConfigMgr_LOR%2fSoftware+Distribution+-+Package+and+Program+Deployment+Status%2fStatus+of+a+specified+package+and+program+deployment&amp;rc%3ashowbackbutton=true" xr:uid="{CE403231-BC6B-4F3E-B434-E6AF6032D637}"/>
    <hyperlink ref="A27" r:id="rId3" display="https://nlitgccmfe9.emea.loreal.intra/ReportServer/Pages/ReportViewer.aspx?%2fConfigMgr_LOR%2fSoftware+Distribution+-+Package+and+Program+Deployment+Status%2fStatus+of+a+specified+package+and+program+deployment&amp;rc%3ashowbackbutton=true" xr:uid="{B9BF1294-0E31-4F35-BAA3-47F81AE4A3C1}"/>
  </hyperlinks>
  <pageMargins left="0.7" right="0.7" top="0.75" bottom="0.75" header="0.3" footer="0.3"/>
  <pageSetup orientation="portrait" r:id="rId4"/>
  <headerFooter>
    <oddFooter>&amp;C_x000D_&amp;1#&amp;"arial"&amp;9&amp;K008000 C1 - Internal use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A2A00-64CA-48F3-9E6B-90CA2F87A29C}">
  <dimension ref="A1:H3"/>
  <sheetViews>
    <sheetView workbookViewId="0">
      <selection activeCell="F6" sqref="F6"/>
    </sheetView>
  </sheetViews>
  <sheetFormatPr defaultRowHeight="15" x14ac:dyDescent="0.25"/>
  <cols>
    <col min="1" max="1" width="21.140625" style="21" customWidth="1"/>
    <col min="2" max="2" width="18.85546875" customWidth="1"/>
    <col min="3" max="3" width="12.85546875" customWidth="1"/>
    <col min="4" max="4" width="13.5703125" customWidth="1"/>
    <col min="5" max="5" width="14.42578125" customWidth="1"/>
    <col min="6" max="7" width="28.85546875" customWidth="1"/>
    <col min="8" max="8" width="22.85546875" customWidth="1"/>
  </cols>
  <sheetData>
    <row r="1" spans="1:8" s="3" customFormat="1" x14ac:dyDescent="0.25">
      <c r="A1" s="23" t="s">
        <v>78</v>
      </c>
      <c r="B1" s="3" t="s">
        <v>69</v>
      </c>
      <c r="C1" s="3" t="s">
        <v>68</v>
      </c>
      <c r="D1" s="3" t="s">
        <v>70</v>
      </c>
      <c r="E1" s="3" t="s">
        <v>3</v>
      </c>
      <c r="F1" s="3" t="s">
        <v>74</v>
      </c>
      <c r="G1" s="3" t="s">
        <v>82</v>
      </c>
      <c r="H1" s="3" t="s">
        <v>79</v>
      </c>
    </row>
    <row r="2" spans="1:8" x14ac:dyDescent="0.25">
      <c r="A2" s="20">
        <v>45826.750983796293</v>
      </c>
      <c r="B2" t="s">
        <v>71</v>
      </c>
      <c r="C2" s="18" t="s">
        <v>72</v>
      </c>
      <c r="D2" s="18" t="s">
        <v>73</v>
      </c>
      <c r="E2" t="s">
        <v>14</v>
      </c>
      <c r="G2" t="s">
        <v>84</v>
      </c>
      <c r="H2" t="s">
        <v>81</v>
      </c>
    </row>
    <row r="3" spans="1:8" x14ac:dyDescent="0.25">
      <c r="A3" s="22">
        <v>45826.760034722225</v>
      </c>
      <c r="B3" t="s">
        <v>76</v>
      </c>
      <c r="C3" s="18" t="s">
        <v>72</v>
      </c>
      <c r="D3" s="19" t="s">
        <v>77</v>
      </c>
      <c r="E3" t="s">
        <v>14</v>
      </c>
      <c r="F3" t="s">
        <v>75</v>
      </c>
      <c r="G3" s="24" t="s">
        <v>83</v>
      </c>
      <c r="H3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29Jul2025</vt:lpstr>
      <vt:lpstr>Sheet1</vt:lpstr>
      <vt:lpstr>Sheet2</vt:lpstr>
    </vt:vector>
  </TitlesOfParts>
  <Manager/>
  <Company>LOREAL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NANDINA Alekhya - KELLY OCG</dc:creator>
  <cp:keywords/>
  <dc:description/>
  <cp:lastModifiedBy>NANDINA Alekhya - KELLY OCG</cp:lastModifiedBy>
  <cp:revision/>
  <dcterms:created xsi:type="dcterms:W3CDTF">2025-06-12T18:43:08Z</dcterms:created>
  <dcterms:modified xsi:type="dcterms:W3CDTF">2025-09-16T18:23:41Z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b7177-c66c-4b22-a350-7ee86f9a1e74_Enabled">
    <vt:lpwstr>true</vt:lpwstr>
  </property>
  <property fmtid="{D5CDD505-2E9C-101B-9397-08002B2CF9AE}" pid="3" name="MSIP_Label_f43b7177-c66c-4b22-a350-7ee86f9a1e74_SetDate">
    <vt:lpwstr>2025-06-12T19:19:19Z</vt:lpwstr>
  </property>
  <property fmtid="{D5CDD505-2E9C-101B-9397-08002B2CF9AE}" pid="4" name="MSIP_Label_f43b7177-c66c-4b22-a350-7ee86f9a1e74_Method">
    <vt:lpwstr>Standard</vt:lpwstr>
  </property>
  <property fmtid="{D5CDD505-2E9C-101B-9397-08002B2CF9AE}" pid="5" name="MSIP_Label_f43b7177-c66c-4b22-a350-7ee86f9a1e74_Name">
    <vt:lpwstr>C1_Internal use</vt:lpwstr>
  </property>
  <property fmtid="{D5CDD505-2E9C-101B-9397-08002B2CF9AE}" pid="6" name="MSIP_Label_f43b7177-c66c-4b22-a350-7ee86f9a1e74_SiteId">
    <vt:lpwstr>e4e1abd9-eac7-4a71-ab52-da5c998aa7ba</vt:lpwstr>
  </property>
  <property fmtid="{D5CDD505-2E9C-101B-9397-08002B2CF9AE}" pid="7" name="MSIP_Label_f43b7177-c66c-4b22-a350-7ee86f9a1e74_ActionId">
    <vt:lpwstr>7cb018c1-9d12-48b7-a3a2-a804f0fa1486</vt:lpwstr>
  </property>
  <property fmtid="{D5CDD505-2E9C-101B-9397-08002B2CF9AE}" pid="8" name="MSIP_Label_f43b7177-c66c-4b22-a350-7ee86f9a1e74_ContentBits">
    <vt:lpwstr>2</vt:lpwstr>
  </property>
</Properties>
</file>